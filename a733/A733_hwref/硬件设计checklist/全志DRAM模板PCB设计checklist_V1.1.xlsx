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版本管理" sheetId="3" r:id="rId1"/>
    <sheet name="DDR模板 PCB checklist" sheetId="2" r:id="rId2"/>
    <sheet name="阻抗，等长需求表" sheetId="4" r:id="rId3"/>
  </sheets>
  <calcPr calcId="144525"/>
</workbook>
</file>

<file path=xl/sharedStrings.xml><?xml version="1.0" encoding="utf-8"?>
<sst xmlns="http://schemas.openxmlformats.org/spreadsheetml/2006/main" count="212" uniqueCount="98">
  <si>
    <t>版本历史</t>
  </si>
  <si>
    <t>版本</t>
  </si>
  <si>
    <t>日期</t>
  </si>
  <si>
    <t>修订人</t>
  </si>
  <si>
    <t>审核人</t>
  </si>
  <si>
    <t>版本描述</t>
  </si>
  <si>
    <t>1.0</t>
  </si>
  <si>
    <t>2022-09-24</t>
  </si>
  <si>
    <t>熊方敏</t>
  </si>
  <si>
    <t>发布初版本</t>
  </si>
  <si>
    <t>1.1</t>
  </si>
  <si>
    <t>2024-11-14</t>
  </si>
  <si>
    <t>第15条增加DQ信号优先参考GND和不能参考GND情况。</t>
  </si>
  <si>
    <t xml:space="preserve">文档说明：
本文档用于指导客户PCB layout 设计进行自我检查，另外本司还有关于《PCB设计guide》，对于pcb 设计细节都有进行详细说明，用于指导客户如何设计，请详细查阅。
</t>
  </si>
  <si>
    <t>全志XXX 硬件平台客户DDR模板 PCB checklist</t>
  </si>
  <si>
    <t>客户名称</t>
  </si>
  <si>
    <t>级别</t>
  </si>
  <si>
    <t>总数</t>
  </si>
  <si>
    <t>"不通过"数量</t>
  </si>
  <si>
    <t>"不涉及"数量</t>
  </si>
  <si>
    <t>通过率</t>
  </si>
  <si>
    <t>文档名称</t>
  </si>
  <si>
    <t>建议</t>
  </si>
  <si>
    <t>”建议“：建议执行，”不满足“需要说明</t>
  </si>
  <si>
    <t>设计者</t>
  </si>
  <si>
    <t>规则</t>
  </si>
  <si>
    <t>”规则“：原则要求强制执行，”不满足“需要详细说，且专家审核通过</t>
  </si>
  <si>
    <t>审核结论</t>
  </si>
  <si>
    <t>通过</t>
  </si>
  <si>
    <t>分类</t>
  </si>
  <si>
    <t>编号</t>
  </si>
  <si>
    <t>检查项</t>
  </si>
  <si>
    <t>自检结论</t>
  </si>
  <si>
    <t>“不满足”说明</t>
  </si>
  <si>
    <t>客户专家检查</t>
  </si>
  <si>
    <t>备注说明</t>
  </si>
  <si>
    <t>基本要求</t>
  </si>
  <si>
    <t>1</t>
  </si>
  <si>
    <t>确认拿到最新的DRAM模板需求表。</t>
  </si>
  <si>
    <t>满足</t>
  </si>
  <si>
    <t>2</t>
  </si>
  <si>
    <t>确认最新原理图，PCB netlist与最新原理图一致。</t>
  </si>
  <si>
    <t>3</t>
  </si>
  <si>
    <t>按模板需求表中叠构需求在SVN上抓取最新叠构，并按叠构设置正确的线宽线距。</t>
  </si>
  <si>
    <t>4</t>
  </si>
  <si>
    <t>确认已经导入最新的Pin Delay,如果没有，请找项目Layout负责人索取。</t>
  </si>
  <si>
    <t>5</t>
  </si>
  <si>
    <t>按DDR Layout Guide在 Allegro Constraint Manager设定好等长rule,或使用等长表记录等长。</t>
  </si>
  <si>
    <t>6</t>
  </si>
  <si>
    <t>参考原理图编号位置和批注摆放元件，所有的电容摆放位置需SI负责人检查通过。</t>
  </si>
  <si>
    <t>7</t>
  </si>
  <si>
    <t>电源区域的走线参考线路，1A电流以不少于40mil,两个V8X16Via 原则，保证电流强度。</t>
  </si>
  <si>
    <t>8</t>
  </si>
  <si>
    <t>电源的馈点一般放在DDR颗粒底下铺铜薄弱区域。</t>
  </si>
  <si>
    <t>9</t>
  </si>
  <si>
    <t>DDR走线区域不宜外扩 DDR 区域Ball map 太多，完成后需检查是否影响周边其它信号摆件走线。</t>
  </si>
  <si>
    <t>10</t>
  </si>
  <si>
    <t>Soc端扇出区域信号2-3个Via排成一竖排，旁边有一个GND Via 保证信号的回流。</t>
  </si>
  <si>
    <t>11</t>
  </si>
  <si>
    <t>颗粒端扇出区域信号换层处多打GND Via 以保证信号的回流，Clk频率&gt;1.2GHz建议2-3个信号换层旁边需有一个GND Via。</t>
  </si>
  <si>
    <t>12</t>
  </si>
  <si>
    <t>CLK DQS表层走线需要包地且在换层处打GND Via，超过300mil GND线路需添加GND Via 。</t>
  </si>
  <si>
    <t>13</t>
  </si>
  <si>
    <t>两层板的DDR模板，按两层板Layout Guide 包地，添加GND Via,并检查端接电阻摆放是否符合需求。</t>
  </si>
  <si>
    <t>14</t>
  </si>
  <si>
    <t>等长信号优先在不等长处调整，蛇形线长度和距离需求符合Layout Guide。</t>
  </si>
  <si>
    <t>15</t>
  </si>
  <si>
    <t>所有的信号都需要有完整的参考平面，DQ信号优先参考GND平面。如果DQ信号因叠层必须参考电源,需经过SI负责人和layout负责人评审和同意。信号跨Moat同样需要SI负责人和layout负责人评审和同意。</t>
  </si>
  <si>
    <t>16</t>
  </si>
  <si>
    <t>DDR 模板不能有测试点，如果发现有测试点，请方案在线路中拿掉。</t>
  </si>
  <si>
    <t>17</t>
  </si>
  <si>
    <t>如遇走线不顺，需交换CA或者DQ信号，请按照项目信号交换表格所列规则交换，并将交换前，交换后的线路送DDR模块负责人评审，以保证信号的正确性。</t>
  </si>
  <si>
    <t>18</t>
  </si>
  <si>
    <t>评审完成的线路请方案更新后，重新导入PCB，保证无Open Short。</t>
  </si>
  <si>
    <t>19</t>
  </si>
  <si>
    <t>所有DDR模板完成后需经过SI负责人，DDR模块负责人检查，确认无问题后请各负责人回复邮件。</t>
  </si>
  <si>
    <t>20</t>
  </si>
  <si>
    <t>DDR模板备份资料包符合备份Guide,资料需准确。</t>
  </si>
  <si>
    <t>阻抗，等长需求表</t>
  </si>
  <si>
    <t>名称 需求</t>
  </si>
  <si>
    <r>
      <rPr>
        <b/>
        <sz val="10"/>
        <rFont val="微软雅黑"/>
        <charset val="134"/>
      </rPr>
      <t xml:space="preserve">阻抗 </t>
    </r>
    <r>
      <rPr>
        <sz val="10.5"/>
        <color theme="1"/>
        <rFont val="Arial"/>
        <charset val="134"/>
      </rPr>
      <t>ohm</t>
    </r>
  </si>
  <si>
    <t>等长和长度需求（mil）</t>
  </si>
  <si>
    <t>间距</t>
  </si>
  <si>
    <t>专家检查人</t>
  </si>
  <si>
    <t>专家检查结论</t>
  </si>
  <si>
    <t>DDR3</t>
  </si>
  <si>
    <t>CLK</t>
  </si>
  <si>
    <t>CLK to CLK  20;
ADD to CLK   ±800;
CTRL to CLK  ±300;
ADD to CTRL  ±600;
DQS to DQS    20;
DQ to DQS    ±400;
CLK to DQS   ±800;
DQ/DM         250
 Tee型拓扑偏差不超过50
936MHz-1.2GHz
CLK to CLK    10；
CLK to ADD     ±500
DQS与DQS      10;
1.2GHz -1.8GHz
DQS与DQS      5</t>
  </si>
  <si>
    <t>CLK DQS 距离地4mil 包地处理，距离其它信号≥15mil。
地址命令控制信号之间的间距≥8mil，规格高于936MHz的情形，间距≥10mil；与数据信号的间距≥12mil。
DQ/DM 间距≥8mil,规格高于936MHz～1.2GHZ的情形，间距≥10mil；1.2GHz-1.8G(12-4H),与其它非pair信号≥12mil。</t>
  </si>
  <si>
    <t>DQS</t>
  </si>
  <si>
    <t>DQ, 地址,命令,控制</t>
  </si>
  <si>
    <t>DDR4</t>
  </si>
  <si>
    <t>CLK pair≤20;
CLK -&gt;ADD -800≤CLK-ADD≤800;
CLK -&gt;CTRL  -300≤CLK-CS≤300;
ADD -&gt;CTRL -600≤ADD-CTRL≤600;
DQS pair ≤20;
DQS-&gt;DQ -400≤DQS-DQ≤400;
CLK DQS -800≤CLK-DQS≤800;
DQ/DM -250≤DQ-DQ≤250;
 Tee型拓扑偏差不超过50
936MHz-1.2GHz
CLK pair ≤10；
-500≤CLK-ADD≤500;
DQS pair ≤10;
1.2GHz -1.8GHz
DQS pair ≤5</t>
  </si>
  <si>
    <t>LPDDR3/LPDDR3X</t>
  </si>
  <si>
    <t>CLK to CLK    20;
ADD to CLK  ±500;
CLK to CS   ±300;
ADD to CTRL ±600;
ADD to CMD    200;
CTRLto CTRL   1000;
DQS to DQS    20;
DQ to DQS   ±400;
DQS to CLK  ±800;
DQ to DQ    ±200;
 Tee型拓扑偏差不超过50;
936MHz-1.2GHz
CLK to CLK 10;
ADD to CLK ±300;
ADD to CMD  100
DQS to DQS  10;
1.2GHz -1.8GHz
DQ to DQS 5;
CTRLto CTRL 800;
DQ to DQS ±400;
DQS to CLK±400;
DQ to DQ  ±120;</t>
  </si>
  <si>
    <t>LPDDR4/LPDDR4X</t>
  </si>
  <si>
    <t>不通过</t>
  </si>
  <si>
    <t>地址信号：SA0~17
命令信号:RAS,CAS,WE,BA0/1/2,BG0/1,ACT
控制信号：CS,CKE,ODT
数据信号：DQ，DQS，DM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</si>
</sst>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b/>
      <sz val="20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name val="宋体"/>
      <charset val="134"/>
      <scheme val="minor"/>
    </font>
    <font>
      <b/>
      <sz val="24"/>
      <color rgb="FF0000FF"/>
      <name val="微软雅黑"/>
      <charset val="134"/>
    </font>
    <font>
      <b/>
      <sz val="24"/>
      <color indexed="12"/>
      <name val="微软雅黑"/>
      <charset val="134"/>
    </font>
    <font>
      <sz val="24"/>
      <name val="微软雅黑"/>
      <charset val="134"/>
    </font>
    <font>
      <b/>
      <sz val="10"/>
      <color indexed="8"/>
      <name val="微软雅黑"/>
      <charset val="134"/>
    </font>
    <font>
      <sz val="10"/>
      <color rgb="FF0631EA"/>
      <name val="微软雅黑"/>
      <charset val="134"/>
    </font>
    <font>
      <sz val="10"/>
      <color rgb="FF1602D8"/>
      <name val="微软雅黑"/>
      <charset val="134"/>
    </font>
    <font>
      <b/>
      <sz val="10"/>
      <color rgb="FF007835"/>
      <name val="微软雅黑"/>
      <charset val="134"/>
    </font>
    <font>
      <sz val="10"/>
      <color theme="1"/>
      <name val="宋体"/>
      <charset val="134"/>
      <scheme val="minor"/>
    </font>
    <font>
      <b/>
      <sz val="24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  <scheme val="minor"/>
    </font>
    <font>
      <sz val="18"/>
      <color theme="1"/>
      <name val="思源黑体 CN Medium"/>
      <charset val="134"/>
    </font>
    <font>
      <b/>
      <sz val="11"/>
      <color theme="1"/>
      <name val="宋体"/>
      <charset val="134"/>
      <scheme val="minor"/>
    </font>
    <font>
      <sz val="11"/>
      <color theme="1"/>
      <name val="思源黑体 CN Normal"/>
      <charset val="134"/>
    </font>
    <font>
      <sz val="11"/>
      <name val="思源黑体 CN Normal"/>
      <charset val="134"/>
    </font>
    <font>
      <sz val="11"/>
      <color rgb="FF00B0F0"/>
      <name val="思源黑体 CN Norm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Times New Roman"/>
      <charset val="134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theme="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0"/>
    <xf numFmtId="0" fontId="33" fillId="0" borderId="12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4" fillId="16" borderId="14" applyNumberFormat="0" applyAlignment="0" applyProtection="0">
      <alignment vertical="center"/>
    </xf>
    <xf numFmtId="0" fontId="35" fillId="16" borderId="10" applyNumberFormat="0" applyAlignment="0" applyProtection="0">
      <alignment vertical="center"/>
    </xf>
    <xf numFmtId="0" fontId="36" fillId="17" borderId="15" applyNumberFormat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49" fontId="18" fillId="0" borderId="1">
      <alignment vertical="center" wrapText="1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32" fillId="0" borderId="0"/>
    <xf numFmtId="49" fontId="17" fillId="6" borderId="1">
      <alignment vertical="center" wrapText="1"/>
    </xf>
  </cellStyleXfs>
  <cellXfs count="6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5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4" borderId="1" xfId="2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vertical="center" wrapText="1"/>
    </xf>
    <xf numFmtId="0" fontId="2" fillId="2" borderId="4" xfId="0" applyFont="1" applyFill="1" applyBorder="1" applyAlignment="1" applyProtection="1">
      <alignment vertical="center" wrapText="1"/>
    </xf>
    <xf numFmtId="0" fontId="2" fillId="4" borderId="4" xfId="2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 applyProtection="1">
      <alignment vertical="center" wrapText="1"/>
      <protection locked="0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20" applyNumberFormat="1" applyFont="1" applyBorder="1" applyAlignment="1" applyProtection="1">
      <alignment horizontal="center"/>
      <protection locked="0"/>
    </xf>
    <xf numFmtId="0" fontId="6" fillId="0" borderId="0" xfId="20" applyNumberFormat="1" applyFont="1" applyBorder="1" applyAlignment="1" applyProtection="1">
      <alignment horizontal="center"/>
      <protection locked="0"/>
    </xf>
    <xf numFmtId="0" fontId="7" fillId="0" borderId="0" xfId="0" applyFont="1" applyFill="1" applyBorder="1" applyAlignment="1">
      <alignment horizontal="center"/>
    </xf>
    <xf numFmtId="0" fontId="3" fillId="5" borderId="1" xfId="2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20" applyNumberFormat="1" applyFont="1" applyFill="1" applyBorder="1" applyAlignment="1" applyProtection="1">
      <alignment vertical="center" wrapText="1"/>
      <protection locked="0"/>
    </xf>
    <xf numFmtId="0" fontId="3" fillId="5" borderId="1" xfId="20" applyNumberFormat="1" applyFont="1" applyFill="1" applyBorder="1" applyAlignment="1" applyProtection="1">
      <alignment vertical="center" wrapText="1"/>
      <protection locked="0"/>
    </xf>
    <xf numFmtId="0" fontId="2" fillId="5" borderId="1" xfId="20" applyNumberFormat="1" applyFont="1" applyFill="1" applyBorder="1" applyAlignment="1" applyProtection="1">
      <alignment vertical="center" wrapText="1"/>
    </xf>
    <xf numFmtId="0" fontId="9" fillId="5" borderId="1" xfId="20" applyNumberFormat="1" applyFont="1" applyFill="1" applyBorder="1" applyAlignment="1" applyProtection="1">
      <alignment horizontal="center" vertical="center" wrapText="1"/>
    </xf>
    <xf numFmtId="10" fontId="10" fillId="5" borderId="1" xfId="20" applyNumberFormat="1" applyFont="1" applyFill="1" applyBorder="1" applyAlignment="1" applyProtection="1">
      <alignment horizontal="center" vertical="center" wrapText="1"/>
    </xf>
    <xf numFmtId="0" fontId="3" fillId="5" borderId="1" xfId="20" applyNumberFormat="1" applyFont="1" applyFill="1" applyBorder="1" applyAlignment="1" applyProtection="1">
      <alignment horizontal="left" vertical="center" wrapText="1"/>
      <protection locked="0"/>
    </xf>
    <xf numFmtId="0" fontId="3" fillId="2" borderId="1" xfId="2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20" applyNumberFormat="1" applyFont="1" applyFill="1" applyBorder="1" applyAlignment="1" applyProtection="1">
      <alignment vertical="center" wrapText="1"/>
      <protection locked="0"/>
    </xf>
    <xf numFmtId="0" fontId="11" fillId="2" borderId="7" xfId="0" applyFont="1" applyFill="1" applyBorder="1" applyAlignment="1" applyProtection="1">
      <alignment vertical="center" wrapText="1"/>
      <protection locked="0"/>
    </xf>
    <xf numFmtId="0" fontId="3" fillId="2" borderId="1" xfId="20" applyNumberFormat="1" applyFont="1" applyFill="1" applyBorder="1" applyAlignment="1" applyProtection="1">
      <alignment horizontal="left" vertical="center" wrapText="1"/>
      <protection locked="0"/>
    </xf>
    <xf numFmtId="0" fontId="3" fillId="3" borderId="6" xfId="51" applyNumberFormat="1" applyFont="1" applyFill="1" applyBorder="1" applyAlignment="1">
      <alignment vertical="center" wrapText="1"/>
    </xf>
    <xf numFmtId="0" fontId="3" fillId="3" borderId="6" xfId="0" applyNumberFormat="1" applyFont="1" applyFill="1" applyBorder="1" applyAlignment="1">
      <alignment vertical="center" wrapText="1"/>
    </xf>
    <xf numFmtId="0" fontId="3" fillId="3" borderId="6" xfId="51" applyNumberFormat="1" applyFont="1" applyFill="1" applyBorder="1" applyAlignment="1">
      <alignment horizontal="center" vertical="center" wrapText="1"/>
    </xf>
    <xf numFmtId="0" fontId="3" fillId="3" borderId="7" xfId="51" applyNumberFormat="1" applyFont="1" applyFill="1" applyBorder="1" applyAlignment="1">
      <alignment horizontal="center" vertical="center" wrapText="1"/>
    </xf>
    <xf numFmtId="0" fontId="3" fillId="3" borderId="8" xfId="51" applyNumberFormat="1" applyFont="1" applyFill="1" applyBorder="1" applyAlignment="1">
      <alignment horizontal="center" vertical="center" wrapText="1"/>
    </xf>
    <xf numFmtId="0" fontId="3" fillId="3" borderId="9" xfId="51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49" fontId="2" fillId="2" borderId="1" xfId="0" applyNumberFormat="1" applyFont="1" applyFill="1" applyBorder="1" applyAlignment="1" applyProtection="1">
      <alignment horizontal="left" vertical="top" wrapText="1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13" fillId="0" borderId="0" xfId="20" applyNumberFormat="1" applyFont="1" applyBorder="1" applyAlignment="1" applyProtection="1">
      <alignment horizontal="center"/>
      <protection locked="0"/>
    </xf>
    <xf numFmtId="0" fontId="2" fillId="5" borderId="1" xfId="2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0" fontId="14" fillId="2" borderId="1" xfId="0" applyFont="1" applyFill="1" applyBorder="1" applyAlignment="1" applyProtection="1">
      <alignment vertical="center" wrapText="1"/>
      <protection locked="0"/>
    </xf>
    <xf numFmtId="0" fontId="15" fillId="0" borderId="0" xfId="0" applyFont="1" applyFill="1" applyAlignment="1">
      <alignment vertical="center"/>
    </xf>
    <xf numFmtId="0" fontId="0" fillId="0" borderId="0" xfId="0" applyFill="1" applyBorder="1" applyAlignment="1">
      <alignment vertical="center" wrapText="1"/>
    </xf>
    <xf numFmtId="49" fontId="16" fillId="0" borderId="0" xfId="46" applyFont="1" applyFill="1" applyBorder="1" applyAlignment="1">
      <alignment horizontal="center" vertical="center" wrapText="1"/>
    </xf>
    <xf numFmtId="49" fontId="17" fillId="6" borderId="1" xfId="52">
      <alignment vertical="center" wrapText="1"/>
    </xf>
    <xf numFmtId="49" fontId="18" fillId="0" borderId="1" xfId="46" applyBorder="1">
      <alignment vertical="center" wrapText="1"/>
    </xf>
    <xf numFmtId="49" fontId="18" fillId="0" borderId="1" xfId="46" applyBorder="1" applyAlignment="1">
      <alignment horizontal="center" vertical="center" wrapText="1"/>
    </xf>
    <xf numFmtId="49" fontId="19" fillId="0" borderId="1" xfId="46" applyFont="1" applyBorder="1" applyAlignment="1">
      <alignment vertical="center" wrapText="1"/>
    </xf>
    <xf numFmtId="49" fontId="19" fillId="0" borderId="1" xfId="46" applyFont="1" applyBorder="1">
      <alignment vertical="center" wrapText="1"/>
    </xf>
    <xf numFmtId="49" fontId="20" fillId="0" borderId="1" xfId="46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0,0_x000d__x000a_NA_x000d__x000a_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表格正文" xfId="46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Sheet1" xfId="51"/>
    <cellStyle name="表格标题（灰底）" xfId="52"/>
  </cellStyles>
  <dxfs count="6">
    <dxf>
      <fill>
        <patternFill patternType="solid">
          <b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FF0000"/>
      </font>
      <fill>
        <patternFill patternType="solid">
          <bgColor rgb="FF9EEFF8"/>
        </patternFill>
      </fill>
    </dxf>
    <dxf>
      <fill>
        <patternFill patternType="solid">
          <bgColor rgb="FFC00000"/>
        </patternFill>
      </fill>
    </dxf>
  </dxfs>
  <tableStyles count="0" defaultTableStyle="TableStyleMedium2" defaultPivotStyle="PivotStyleLight16"/>
  <colors>
    <mruColors>
      <color rgb="000078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399415</xdr:colOff>
      <xdr:row>0</xdr:row>
      <xdr:rowOff>150495</xdr:rowOff>
    </xdr:from>
    <xdr:to>
      <xdr:col>2</xdr:col>
      <xdr:colOff>1002030</xdr:colOff>
      <xdr:row>1</xdr:row>
      <xdr:rowOff>643255</xdr:rowOff>
    </xdr:to>
    <xdr:pic>
      <xdr:nvPicPr>
        <xdr:cNvPr id="2" name="图片 1" descr="公司LOGO（PNG）格式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9415" y="150495"/>
          <a:ext cx="172783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133985</xdr:colOff>
      <xdr:row>22</xdr:row>
      <xdr:rowOff>125730</xdr:rowOff>
    </xdr:from>
    <xdr:to>
      <xdr:col>6</xdr:col>
      <xdr:colOff>711835</xdr:colOff>
      <xdr:row>22</xdr:row>
      <xdr:rowOff>125730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02145" y="6355080"/>
          <a:ext cx="208407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4" sqref="D4"/>
    </sheetView>
  </sheetViews>
  <sheetFormatPr defaultColWidth="9" defaultRowHeight="13.5" outlineLevelCol="4"/>
  <cols>
    <col min="1" max="1" width="7.49166666666667" style="55" customWidth="1"/>
    <col min="2" max="2" width="15.6333333333333" style="55" customWidth="1"/>
    <col min="3" max="3" width="10.75" style="55" customWidth="1"/>
    <col min="4" max="4" width="8.525" style="55" customWidth="1"/>
    <col min="5" max="5" width="45.4333333333333" style="55" customWidth="1"/>
    <col min="6" max="6" width="9" style="22"/>
    <col min="7" max="13" width="7.13333333333333" style="22" customWidth="1"/>
    <col min="14" max="16384" width="9" style="22"/>
  </cols>
  <sheetData>
    <row r="1" ht="68" customHeight="1" spans="1:5">
      <c r="A1" s="56" t="s">
        <v>0</v>
      </c>
      <c r="B1" s="56"/>
      <c r="C1" s="56"/>
      <c r="D1" s="56"/>
      <c r="E1" s="56"/>
    </row>
    <row r="2" spans="1:5">
      <c r="A2" s="57" t="s">
        <v>1</v>
      </c>
      <c r="B2" s="57" t="s">
        <v>2</v>
      </c>
      <c r="C2" s="57" t="s">
        <v>3</v>
      </c>
      <c r="D2" s="57" t="s">
        <v>4</v>
      </c>
      <c r="E2" s="57" t="s">
        <v>5</v>
      </c>
    </row>
    <row r="3" ht="17.25" spans="1:5">
      <c r="A3" s="58" t="s">
        <v>6</v>
      </c>
      <c r="B3" s="59" t="s">
        <v>7</v>
      </c>
      <c r="C3" s="58" t="s">
        <v>8</v>
      </c>
      <c r="D3" s="58"/>
      <c r="E3" s="58" t="s">
        <v>9</v>
      </c>
    </row>
    <row r="4" ht="34.5" spans="1:5">
      <c r="A4" s="58" t="s">
        <v>10</v>
      </c>
      <c r="B4" s="60" t="s">
        <v>11</v>
      </c>
      <c r="C4" s="61" t="s">
        <v>8</v>
      </c>
      <c r="D4" s="60"/>
      <c r="E4" s="60" t="s">
        <v>12</v>
      </c>
    </row>
    <row r="5" ht="17.25" spans="1:5">
      <c r="A5" s="62"/>
      <c r="B5" s="62"/>
      <c r="C5" s="62"/>
      <c r="D5" s="62"/>
      <c r="E5" s="62"/>
    </row>
    <row r="6" ht="17.25" spans="1:5">
      <c r="A6" s="62"/>
      <c r="B6" s="62"/>
      <c r="C6" s="62"/>
      <c r="D6" s="62"/>
      <c r="E6" s="62"/>
    </row>
    <row r="7" ht="17.25" spans="1:5">
      <c r="A7" s="62"/>
      <c r="B7" s="62"/>
      <c r="C7" s="62"/>
      <c r="D7" s="62"/>
      <c r="E7" s="62"/>
    </row>
    <row r="8" ht="15.75" customHeight="1" spans="1:5">
      <c r="A8" s="62"/>
      <c r="B8" s="62"/>
      <c r="C8" s="62"/>
      <c r="D8" s="62"/>
      <c r="E8" s="62"/>
    </row>
    <row r="9" ht="30" customHeight="1" spans="1:5">
      <c r="A9" s="62"/>
      <c r="B9" s="62"/>
      <c r="C9" s="62"/>
      <c r="D9" s="62"/>
      <c r="E9" s="62"/>
    </row>
    <row r="10" spans="1:5">
      <c r="A10" s="63"/>
      <c r="B10" s="63"/>
      <c r="C10" s="63"/>
      <c r="D10" s="63"/>
      <c r="E10" s="63"/>
    </row>
    <row r="11" ht="78" customHeight="1" spans="1:5">
      <c r="A11" s="64" t="s">
        <v>13</v>
      </c>
      <c r="B11" s="64"/>
      <c r="C11" s="64"/>
      <c r="D11" s="64"/>
      <c r="E11" s="64"/>
    </row>
  </sheetData>
  <mergeCells count="2">
    <mergeCell ref="A1:E1"/>
    <mergeCell ref="A11:E11"/>
  </mergeCells>
  <pageMargins left="0.707638888888889" right="0.707638888888889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abSelected="1" topLeftCell="A3" workbookViewId="0">
      <pane xSplit="2" topLeftCell="C1" activePane="topRight" state="frozen"/>
      <selection/>
      <selection pane="topRight" activeCell="F11" sqref="F11:H11"/>
    </sheetView>
  </sheetViews>
  <sheetFormatPr defaultColWidth="9" defaultRowHeight="13.5"/>
  <cols>
    <col min="1" max="1" width="11.1333333333333" style="21" customWidth="1"/>
    <col min="2" max="2" width="3.63333333333333" style="22" customWidth="1"/>
    <col min="3" max="3" width="69.1166666666667" style="22" customWidth="1"/>
    <col min="4" max="4" width="6.25" style="22" customWidth="1"/>
    <col min="5" max="5" width="7.13333333333333" style="22" customWidth="1"/>
    <col min="6" max="8" width="12.6333333333333" style="22" customWidth="1"/>
    <col min="9" max="9" width="7.13333333333333" style="23" customWidth="1"/>
    <col min="10" max="10" width="53.3833333333333" style="22" customWidth="1"/>
    <col min="11" max="16384" width="9" style="22"/>
  </cols>
  <sheetData>
    <row r="1" spans="1:10">
      <c r="A1" s="24" t="s">
        <v>14</v>
      </c>
      <c r="B1" s="25"/>
      <c r="C1" s="25"/>
      <c r="D1" s="25"/>
      <c r="E1" s="25"/>
      <c r="F1" s="25"/>
      <c r="G1" s="25"/>
      <c r="H1" s="25"/>
      <c r="I1" s="50"/>
      <c r="J1" s="25"/>
    </row>
    <row r="2" ht="56" customHeight="1" spans="1:10">
      <c r="A2" s="26"/>
      <c r="B2" s="26"/>
      <c r="C2" s="26"/>
      <c r="D2" s="26"/>
      <c r="E2" s="26"/>
      <c r="F2" s="26"/>
      <c r="G2" s="26"/>
      <c r="H2" s="26"/>
      <c r="I2" s="26"/>
      <c r="J2" s="26"/>
    </row>
    <row r="3" ht="16.5" spans="1:11">
      <c r="A3" s="27" t="s">
        <v>15</v>
      </c>
      <c r="B3" s="27"/>
      <c r="C3" s="28"/>
      <c r="D3" s="29" t="s">
        <v>16</v>
      </c>
      <c r="E3" s="27" t="s">
        <v>17</v>
      </c>
      <c r="F3" s="27" t="s">
        <v>18</v>
      </c>
      <c r="G3" s="27" t="s">
        <v>19</v>
      </c>
      <c r="H3" s="27" t="s">
        <v>20</v>
      </c>
      <c r="I3" s="51"/>
      <c r="J3" s="51"/>
      <c r="K3" s="49"/>
    </row>
    <row r="4" ht="16.5" spans="1:11">
      <c r="A4" s="27" t="s">
        <v>21</v>
      </c>
      <c r="B4" s="27"/>
      <c r="C4" s="28"/>
      <c r="D4" s="30" t="s">
        <v>22</v>
      </c>
      <c r="E4" s="31">
        <f>COUNTIF(D9:D160,"建议")</f>
        <v>6</v>
      </c>
      <c r="F4" s="31">
        <f>(COUNTIFS(D9:D160,"建议",I9:I160,"不通过"))</f>
        <v>0</v>
      </c>
      <c r="G4" s="31">
        <f>(COUNTIFS(D9:D160,"建议",E9:E160,"不涉及"))</f>
        <v>0</v>
      </c>
      <c r="H4" s="32">
        <f>(E4-F4-G4)/(E4-G4)</f>
        <v>1</v>
      </c>
      <c r="I4" s="51" t="s">
        <v>23</v>
      </c>
      <c r="J4" s="51"/>
      <c r="K4" s="49"/>
    </row>
    <row r="5" ht="16.5" spans="1:11">
      <c r="A5" s="27" t="s">
        <v>24</v>
      </c>
      <c r="B5" s="27"/>
      <c r="C5" s="28"/>
      <c r="D5" s="30" t="s">
        <v>25</v>
      </c>
      <c r="E5" s="31">
        <f>COUNTIF(D9:D160,"规则")</f>
        <v>14</v>
      </c>
      <c r="F5" s="31">
        <f>(COUNTIFS(D9:D161,"规则",I9:I161,"不通过"))</f>
        <v>0</v>
      </c>
      <c r="G5" s="31">
        <f>(COUNTIFS(D9:D161,"规则",E9:E161,"不涉及"))</f>
        <v>0</v>
      </c>
      <c r="H5" s="32">
        <f>(E5-F5-G5)/(E5-G5)</f>
        <v>1</v>
      </c>
      <c r="I5" s="51" t="s">
        <v>26</v>
      </c>
      <c r="J5" s="51"/>
      <c r="K5" s="49"/>
    </row>
    <row r="6" ht="16.5" spans="1:11">
      <c r="A6" s="27" t="s">
        <v>4</v>
      </c>
      <c r="B6" s="27"/>
      <c r="C6" s="28"/>
      <c r="D6" s="29"/>
      <c r="E6" s="33"/>
      <c r="F6" s="34"/>
      <c r="G6" s="34"/>
      <c r="H6" s="35"/>
      <c r="I6" s="35"/>
      <c r="J6" s="35"/>
      <c r="K6" s="49"/>
    </row>
    <row r="7" ht="16.5" spans="1:11">
      <c r="A7" s="27" t="s">
        <v>27</v>
      </c>
      <c r="B7" s="27"/>
      <c r="C7" s="36" t="s">
        <v>28</v>
      </c>
      <c r="D7" s="29"/>
      <c r="E7" s="29"/>
      <c r="F7" s="37"/>
      <c r="G7" s="37"/>
      <c r="H7" s="37"/>
      <c r="I7" s="37"/>
      <c r="J7" s="37"/>
      <c r="K7" s="49"/>
    </row>
    <row r="8" ht="33" spans="1:11">
      <c r="A8" s="38" t="s">
        <v>29</v>
      </c>
      <c r="B8" s="39" t="s">
        <v>30</v>
      </c>
      <c r="C8" s="40" t="s">
        <v>31</v>
      </c>
      <c r="D8" s="40" t="s">
        <v>16</v>
      </c>
      <c r="E8" s="40" t="s">
        <v>32</v>
      </c>
      <c r="F8" s="41" t="s">
        <v>33</v>
      </c>
      <c r="G8" s="42"/>
      <c r="H8" s="43"/>
      <c r="I8" s="40" t="s">
        <v>34</v>
      </c>
      <c r="J8" s="40" t="s">
        <v>35</v>
      </c>
      <c r="K8" s="49"/>
    </row>
    <row r="9" ht="16.5" spans="1:11">
      <c r="A9" s="9" t="s">
        <v>36</v>
      </c>
      <c r="B9" s="44" t="s">
        <v>37</v>
      </c>
      <c r="C9" s="18" t="s">
        <v>38</v>
      </c>
      <c r="D9" s="9" t="s">
        <v>25</v>
      </c>
      <c r="E9" s="10" t="s">
        <v>39</v>
      </c>
      <c r="F9" s="45"/>
      <c r="G9" s="45"/>
      <c r="H9" s="45"/>
      <c r="I9" s="52" t="s">
        <v>28</v>
      </c>
      <c r="J9" s="52"/>
      <c r="K9" s="49"/>
    </row>
    <row r="10" ht="16.5" spans="1:11">
      <c r="A10" s="9"/>
      <c r="B10" s="44" t="s">
        <v>40</v>
      </c>
      <c r="C10" s="18" t="s">
        <v>41</v>
      </c>
      <c r="D10" s="9" t="s">
        <v>25</v>
      </c>
      <c r="E10" s="10" t="s">
        <v>39</v>
      </c>
      <c r="F10" s="45"/>
      <c r="G10" s="45"/>
      <c r="H10" s="45"/>
      <c r="I10" s="52" t="s">
        <v>28</v>
      </c>
      <c r="J10" s="52"/>
      <c r="K10" s="49"/>
    </row>
    <row r="11" ht="20" customHeight="1" spans="1:11">
      <c r="A11" s="9"/>
      <c r="B11" s="44" t="s">
        <v>42</v>
      </c>
      <c r="C11" s="18" t="s">
        <v>43</v>
      </c>
      <c r="D11" s="9" t="s">
        <v>25</v>
      </c>
      <c r="E11" s="10" t="s">
        <v>39</v>
      </c>
      <c r="F11" s="45"/>
      <c r="G11" s="45"/>
      <c r="H11" s="45"/>
      <c r="I11" s="52" t="s">
        <v>28</v>
      </c>
      <c r="J11" s="52"/>
      <c r="K11" s="49"/>
    </row>
    <row r="12" ht="21" customHeight="1" spans="1:11">
      <c r="A12" s="9"/>
      <c r="B12" s="44" t="s">
        <v>44</v>
      </c>
      <c r="C12" s="46" t="s">
        <v>45</v>
      </c>
      <c r="D12" s="9" t="s">
        <v>25</v>
      </c>
      <c r="E12" s="10" t="s">
        <v>39</v>
      </c>
      <c r="F12" s="45"/>
      <c r="G12" s="45"/>
      <c r="H12" s="45"/>
      <c r="I12" s="52" t="s">
        <v>28</v>
      </c>
      <c r="J12" s="52"/>
      <c r="K12" s="49"/>
    </row>
    <row r="13" ht="24" customHeight="1" spans="1:11">
      <c r="A13" s="9"/>
      <c r="B13" s="44" t="s">
        <v>46</v>
      </c>
      <c r="C13" s="46" t="s">
        <v>47</v>
      </c>
      <c r="D13" s="9" t="s">
        <v>22</v>
      </c>
      <c r="E13" s="10" t="s">
        <v>39</v>
      </c>
      <c r="F13" s="45"/>
      <c r="G13" s="45"/>
      <c r="H13" s="45"/>
      <c r="I13" s="52" t="s">
        <v>28</v>
      </c>
      <c r="J13" s="52"/>
      <c r="K13" s="49"/>
    </row>
    <row r="14" ht="16.5" spans="1:11">
      <c r="A14" s="9"/>
      <c r="B14" s="44" t="s">
        <v>48</v>
      </c>
      <c r="C14" s="46" t="s">
        <v>49</v>
      </c>
      <c r="D14" s="9" t="s">
        <v>25</v>
      </c>
      <c r="E14" s="10" t="s">
        <v>39</v>
      </c>
      <c r="F14" s="45"/>
      <c r="G14" s="45"/>
      <c r="H14" s="45"/>
      <c r="I14" s="52" t="s">
        <v>28</v>
      </c>
      <c r="J14" s="52"/>
      <c r="K14" s="49"/>
    </row>
    <row r="15" ht="16.5" spans="1:11">
      <c r="A15" s="9"/>
      <c r="B15" s="44" t="s">
        <v>50</v>
      </c>
      <c r="C15" s="46" t="s">
        <v>51</v>
      </c>
      <c r="D15" s="9" t="s">
        <v>22</v>
      </c>
      <c r="E15" s="10" t="s">
        <v>39</v>
      </c>
      <c r="F15" s="45"/>
      <c r="G15" s="45"/>
      <c r="H15" s="45"/>
      <c r="I15" s="52" t="s">
        <v>28</v>
      </c>
      <c r="J15" s="52"/>
      <c r="K15" s="49"/>
    </row>
    <row r="16" ht="16.5" spans="1:11">
      <c r="A16" s="9"/>
      <c r="B16" s="44" t="s">
        <v>52</v>
      </c>
      <c r="C16" s="46" t="s">
        <v>53</v>
      </c>
      <c r="D16" s="9" t="s">
        <v>22</v>
      </c>
      <c r="E16" s="10" t="s">
        <v>39</v>
      </c>
      <c r="F16" s="45"/>
      <c r="G16" s="45"/>
      <c r="H16" s="45"/>
      <c r="I16" s="52" t="s">
        <v>28</v>
      </c>
      <c r="J16" s="52"/>
      <c r="K16" s="49"/>
    </row>
    <row r="17" ht="33" spans="1:11">
      <c r="A17" s="9"/>
      <c r="B17" s="44" t="s">
        <v>54</v>
      </c>
      <c r="C17" s="47" t="s">
        <v>55</v>
      </c>
      <c r="D17" s="9" t="s">
        <v>25</v>
      </c>
      <c r="E17" s="10" t="s">
        <v>39</v>
      </c>
      <c r="F17" s="45"/>
      <c r="G17" s="45"/>
      <c r="H17" s="45"/>
      <c r="I17" s="52" t="s">
        <v>28</v>
      </c>
      <c r="J17" s="52"/>
      <c r="K17" s="49"/>
    </row>
    <row r="18" ht="16.5" spans="1:11">
      <c r="A18" s="9"/>
      <c r="B18" s="44" t="s">
        <v>56</v>
      </c>
      <c r="C18" s="47" t="s">
        <v>57</v>
      </c>
      <c r="D18" s="9" t="s">
        <v>22</v>
      </c>
      <c r="E18" s="10" t="s">
        <v>39</v>
      </c>
      <c r="F18" s="45"/>
      <c r="G18" s="45"/>
      <c r="H18" s="45"/>
      <c r="I18" s="52" t="s">
        <v>28</v>
      </c>
      <c r="J18" s="52"/>
      <c r="K18" s="49"/>
    </row>
    <row r="19" ht="37" customHeight="1" spans="1:11">
      <c r="A19" s="9"/>
      <c r="B19" s="44" t="s">
        <v>58</v>
      </c>
      <c r="C19" s="47" t="s">
        <v>59</v>
      </c>
      <c r="D19" s="9" t="s">
        <v>22</v>
      </c>
      <c r="E19" s="10" t="s">
        <v>39</v>
      </c>
      <c r="F19" s="45"/>
      <c r="G19" s="45"/>
      <c r="H19" s="45"/>
      <c r="I19" s="52" t="s">
        <v>28</v>
      </c>
      <c r="J19" s="52"/>
      <c r="K19" s="49"/>
    </row>
    <row r="20" ht="16.5" spans="1:11">
      <c r="A20" s="9"/>
      <c r="B20" s="44" t="s">
        <v>60</v>
      </c>
      <c r="C20" s="47" t="s">
        <v>61</v>
      </c>
      <c r="D20" s="9" t="s">
        <v>25</v>
      </c>
      <c r="E20" s="10" t="s">
        <v>39</v>
      </c>
      <c r="F20" s="45"/>
      <c r="G20" s="45"/>
      <c r="H20" s="45"/>
      <c r="I20" s="52" t="s">
        <v>28</v>
      </c>
      <c r="J20" s="52"/>
      <c r="K20" s="49"/>
    </row>
    <row r="21" ht="35" customHeight="1" spans="1:11">
      <c r="A21" s="9"/>
      <c r="B21" s="44" t="s">
        <v>62</v>
      </c>
      <c r="C21" s="47" t="s">
        <v>63</v>
      </c>
      <c r="D21" s="9" t="s">
        <v>25</v>
      </c>
      <c r="E21" s="10" t="s">
        <v>39</v>
      </c>
      <c r="F21" s="45"/>
      <c r="G21" s="45"/>
      <c r="H21" s="45"/>
      <c r="I21" s="52" t="s">
        <v>28</v>
      </c>
      <c r="J21" s="52"/>
      <c r="K21" s="49"/>
    </row>
    <row r="22" ht="20" customHeight="1" spans="1:11">
      <c r="A22" s="9"/>
      <c r="B22" s="44" t="s">
        <v>64</v>
      </c>
      <c r="C22" s="47" t="s">
        <v>65</v>
      </c>
      <c r="D22" s="9" t="s">
        <v>25</v>
      </c>
      <c r="E22" s="10" t="s">
        <v>39</v>
      </c>
      <c r="F22" s="45"/>
      <c r="G22" s="45"/>
      <c r="H22" s="45"/>
      <c r="I22" s="52" t="s">
        <v>28</v>
      </c>
      <c r="J22" s="52"/>
      <c r="K22" s="49"/>
    </row>
    <row r="23" ht="49.5" spans="1:11">
      <c r="A23" s="9"/>
      <c r="B23" s="44" t="s">
        <v>66</v>
      </c>
      <c r="C23" s="47" t="s">
        <v>67</v>
      </c>
      <c r="D23" s="9" t="s">
        <v>22</v>
      </c>
      <c r="E23" s="10" t="s">
        <v>39</v>
      </c>
      <c r="F23" s="45"/>
      <c r="G23" s="45"/>
      <c r="H23" s="45"/>
      <c r="I23" s="52" t="s">
        <v>28</v>
      </c>
      <c r="J23" s="52"/>
      <c r="K23" s="49"/>
    </row>
    <row r="24" ht="16.5" spans="1:11">
      <c r="A24" s="9"/>
      <c r="B24" s="44" t="s">
        <v>68</v>
      </c>
      <c r="C24" s="47" t="s">
        <v>69</v>
      </c>
      <c r="D24" s="9" t="s">
        <v>25</v>
      </c>
      <c r="E24" s="10" t="s">
        <v>39</v>
      </c>
      <c r="F24" s="45"/>
      <c r="G24" s="45"/>
      <c r="H24" s="45"/>
      <c r="I24" s="52" t="s">
        <v>28</v>
      </c>
      <c r="J24" s="52"/>
      <c r="K24" s="49"/>
    </row>
    <row r="25" ht="33" spans="1:11">
      <c r="A25" s="9"/>
      <c r="B25" s="44" t="s">
        <v>70</v>
      </c>
      <c r="C25" s="47" t="s">
        <v>71</v>
      </c>
      <c r="D25" s="9" t="s">
        <v>25</v>
      </c>
      <c r="E25" s="10" t="s">
        <v>39</v>
      </c>
      <c r="F25" s="45"/>
      <c r="G25" s="45"/>
      <c r="H25" s="45"/>
      <c r="I25" s="52" t="s">
        <v>28</v>
      </c>
      <c r="J25" s="52"/>
      <c r="K25" s="49"/>
    </row>
    <row r="26" ht="16.5" spans="1:11">
      <c r="A26" s="9"/>
      <c r="B26" s="44" t="s">
        <v>72</v>
      </c>
      <c r="C26" s="47" t="s">
        <v>73</v>
      </c>
      <c r="D26" s="9" t="s">
        <v>25</v>
      </c>
      <c r="E26" s="10" t="s">
        <v>39</v>
      </c>
      <c r="F26" s="45"/>
      <c r="G26" s="45"/>
      <c r="H26" s="45"/>
      <c r="I26" s="52" t="s">
        <v>28</v>
      </c>
      <c r="J26" s="53"/>
      <c r="K26" s="49"/>
    </row>
    <row r="27" ht="33" spans="1:11">
      <c r="A27" s="9"/>
      <c r="B27" s="44" t="s">
        <v>74</v>
      </c>
      <c r="C27" s="47" t="s">
        <v>75</v>
      </c>
      <c r="D27" s="9" t="s">
        <v>25</v>
      </c>
      <c r="E27" s="10" t="s">
        <v>39</v>
      </c>
      <c r="F27" s="45"/>
      <c r="G27" s="45"/>
      <c r="H27" s="45"/>
      <c r="I27" s="52" t="s">
        <v>28</v>
      </c>
      <c r="J27" s="53"/>
      <c r="K27" s="49"/>
    </row>
    <row r="28" ht="24" customHeight="1" spans="1:11">
      <c r="A28" s="9"/>
      <c r="B28" s="44" t="s">
        <v>76</v>
      </c>
      <c r="C28" s="47" t="s">
        <v>77</v>
      </c>
      <c r="D28" s="9" t="s">
        <v>25</v>
      </c>
      <c r="E28" s="10" t="s">
        <v>39</v>
      </c>
      <c r="F28" s="45"/>
      <c r="G28" s="45"/>
      <c r="H28" s="45"/>
      <c r="I28" s="52" t="s">
        <v>28</v>
      </c>
      <c r="J28" s="52"/>
      <c r="K28" s="49"/>
    </row>
    <row r="29" spans="1:11">
      <c r="A29" s="48"/>
      <c r="B29" s="49"/>
      <c r="C29" s="49"/>
      <c r="D29" s="49"/>
      <c r="E29" s="49"/>
      <c r="F29" s="49"/>
      <c r="G29" s="49"/>
      <c r="H29" s="49"/>
      <c r="I29" s="54"/>
      <c r="J29" s="49"/>
      <c r="K29" s="49"/>
    </row>
    <row r="30" spans="1:11">
      <c r="A30" s="48"/>
      <c r="B30" s="49"/>
      <c r="C30" s="49"/>
      <c r="D30" s="49"/>
      <c r="E30" s="49"/>
      <c r="F30" s="49"/>
      <c r="G30" s="49"/>
      <c r="H30" s="49"/>
      <c r="I30" s="54"/>
      <c r="J30" s="49"/>
      <c r="K30" s="49"/>
    </row>
    <row r="31" spans="1:11">
      <c r="A31" s="48"/>
      <c r="B31" s="49"/>
      <c r="C31" s="49"/>
      <c r="D31" s="49"/>
      <c r="E31" s="49"/>
      <c r="F31" s="49"/>
      <c r="G31" s="49"/>
      <c r="H31" s="49"/>
      <c r="I31" s="54"/>
      <c r="J31" s="49"/>
      <c r="K31" s="49"/>
    </row>
    <row r="32" spans="1:11">
      <c r="A32" s="48"/>
      <c r="B32" s="49"/>
      <c r="C32" s="49"/>
      <c r="D32" s="49"/>
      <c r="E32" s="49"/>
      <c r="F32" s="49"/>
      <c r="G32" s="49"/>
      <c r="H32" s="49"/>
      <c r="I32" s="54"/>
      <c r="J32" s="49"/>
      <c r="K32" s="49"/>
    </row>
    <row r="33" spans="1:11">
      <c r="A33" s="48"/>
      <c r="B33" s="49"/>
      <c r="C33" s="49"/>
      <c r="D33" s="49"/>
      <c r="E33" s="49"/>
      <c r="F33" s="49"/>
      <c r="G33" s="49"/>
      <c r="H33" s="49"/>
      <c r="I33" s="54"/>
      <c r="J33" s="49"/>
      <c r="K33" s="49"/>
    </row>
    <row r="34" spans="1:11">
      <c r="A34" s="48"/>
      <c r="B34" s="49"/>
      <c r="C34" s="49"/>
      <c r="D34" s="49"/>
      <c r="E34" s="49"/>
      <c r="F34" s="49"/>
      <c r="G34" s="49"/>
      <c r="H34" s="49"/>
      <c r="I34" s="54"/>
      <c r="J34" s="49"/>
      <c r="K34" s="49"/>
    </row>
    <row r="35" spans="1:11">
      <c r="A35" s="48"/>
      <c r="B35" s="49"/>
      <c r="C35" s="49"/>
      <c r="D35" s="49"/>
      <c r="E35" s="49"/>
      <c r="F35" s="49"/>
      <c r="G35" s="49"/>
      <c r="H35" s="49"/>
      <c r="I35" s="54"/>
      <c r="J35" s="49"/>
      <c r="K35" s="49"/>
    </row>
    <row r="36" spans="1:11">
      <c r="A36" s="48"/>
      <c r="B36" s="49"/>
      <c r="C36" s="49"/>
      <c r="D36" s="49"/>
      <c r="E36" s="49"/>
      <c r="F36" s="49"/>
      <c r="G36" s="49"/>
      <c r="H36" s="49"/>
      <c r="I36" s="54"/>
      <c r="J36" s="49"/>
      <c r="K36" s="49"/>
    </row>
    <row r="37" spans="1:11">
      <c r="A37" s="48"/>
      <c r="B37" s="49"/>
      <c r="C37" s="49"/>
      <c r="D37" s="49"/>
      <c r="E37" s="49"/>
      <c r="F37" s="49"/>
      <c r="G37" s="49"/>
      <c r="H37" s="49"/>
      <c r="I37" s="54"/>
      <c r="J37" s="49"/>
      <c r="K37" s="49"/>
    </row>
    <row r="38" spans="1:11">
      <c r="A38" s="48"/>
      <c r="B38" s="49"/>
      <c r="C38" s="49"/>
      <c r="D38" s="49"/>
      <c r="E38" s="49"/>
      <c r="F38" s="49"/>
      <c r="G38" s="49"/>
      <c r="H38" s="49"/>
      <c r="I38" s="54"/>
      <c r="J38" s="49"/>
      <c r="K38" s="49"/>
    </row>
    <row r="39" spans="1:11">
      <c r="A39" s="48"/>
      <c r="B39" s="49"/>
      <c r="C39" s="49"/>
      <c r="D39" s="49"/>
      <c r="E39" s="49"/>
      <c r="F39" s="49"/>
      <c r="G39" s="49"/>
      <c r="H39" s="49"/>
      <c r="I39" s="54"/>
      <c r="J39" s="49"/>
      <c r="K39" s="49"/>
    </row>
    <row r="40" spans="1:11">
      <c r="A40" s="48"/>
      <c r="B40" s="49"/>
      <c r="C40" s="49"/>
      <c r="D40" s="49"/>
      <c r="E40" s="49"/>
      <c r="F40" s="49"/>
      <c r="G40" s="49"/>
      <c r="H40" s="49"/>
      <c r="I40" s="54"/>
      <c r="J40" s="49"/>
      <c r="K40" s="49"/>
    </row>
    <row r="41" spans="1:11">
      <c r="A41" s="48"/>
      <c r="B41" s="49"/>
      <c r="C41" s="49"/>
      <c r="D41" s="49"/>
      <c r="E41" s="49"/>
      <c r="F41" s="49"/>
      <c r="G41" s="49"/>
      <c r="H41" s="49"/>
      <c r="I41" s="54"/>
      <c r="J41" s="49"/>
      <c r="K41" s="49"/>
    </row>
    <row r="42" spans="1:11">
      <c r="A42" s="48"/>
      <c r="B42" s="49"/>
      <c r="C42" s="49"/>
      <c r="D42" s="49"/>
      <c r="E42" s="49"/>
      <c r="F42" s="49"/>
      <c r="G42" s="49"/>
      <c r="H42" s="49"/>
      <c r="I42" s="54"/>
      <c r="J42" s="49"/>
      <c r="K42" s="49"/>
    </row>
    <row r="43" spans="1:11">
      <c r="A43" s="48"/>
      <c r="B43" s="49"/>
      <c r="C43" s="49"/>
      <c r="D43" s="49"/>
      <c r="E43" s="49"/>
      <c r="F43" s="49"/>
      <c r="G43" s="49"/>
      <c r="H43" s="49"/>
      <c r="I43" s="54"/>
      <c r="J43" s="49"/>
      <c r="K43" s="49"/>
    </row>
    <row r="44" spans="1:11">
      <c r="A44" s="48"/>
      <c r="B44" s="49"/>
      <c r="C44" s="49"/>
      <c r="D44" s="49"/>
      <c r="E44" s="49"/>
      <c r="F44" s="49"/>
      <c r="G44" s="49"/>
      <c r="H44" s="49"/>
      <c r="I44" s="54"/>
      <c r="J44" s="49"/>
      <c r="K44" s="49"/>
    </row>
    <row r="45" spans="1:11">
      <c r="A45" s="48"/>
      <c r="B45" s="49"/>
      <c r="C45" s="49"/>
      <c r="D45" s="49"/>
      <c r="E45" s="49"/>
      <c r="F45" s="49"/>
      <c r="G45" s="49"/>
      <c r="H45" s="49"/>
      <c r="I45" s="54"/>
      <c r="J45" s="49"/>
      <c r="K45" s="49"/>
    </row>
    <row r="46" spans="1:8">
      <c r="A46" s="48"/>
      <c r="B46" s="49"/>
      <c r="C46" s="49"/>
      <c r="D46" s="49"/>
      <c r="E46" s="49"/>
      <c r="F46" s="49"/>
      <c r="G46" s="49"/>
      <c r="H46" s="49"/>
    </row>
    <row r="47" spans="1:8">
      <c r="A47" s="48"/>
      <c r="B47" s="49"/>
      <c r="C47" s="49"/>
      <c r="D47" s="49"/>
      <c r="E47" s="49"/>
      <c r="F47" s="49"/>
      <c r="G47" s="49"/>
      <c r="H47" s="49"/>
    </row>
    <row r="48" spans="1:8">
      <c r="A48" s="48"/>
      <c r="B48" s="49"/>
      <c r="C48" s="49"/>
      <c r="D48" s="49"/>
      <c r="E48" s="49"/>
      <c r="F48" s="49"/>
      <c r="G48" s="49"/>
      <c r="H48" s="49"/>
    </row>
    <row r="49" spans="1:8">
      <c r="A49" s="48"/>
      <c r="B49" s="49"/>
      <c r="C49" s="49"/>
      <c r="D49" s="49"/>
      <c r="E49" s="49"/>
      <c r="F49" s="49"/>
      <c r="G49" s="49"/>
      <c r="H49" s="49"/>
    </row>
    <row r="50" spans="1:8">
      <c r="A50" s="48"/>
      <c r="B50" s="49"/>
      <c r="C50" s="49"/>
      <c r="D50" s="49"/>
      <c r="E50" s="49"/>
      <c r="F50" s="49"/>
      <c r="G50" s="49"/>
      <c r="H50" s="49"/>
    </row>
    <row r="51" spans="1:5">
      <c r="A51" s="48"/>
      <c r="B51" s="49"/>
      <c r="C51" s="49"/>
      <c r="D51" s="49"/>
      <c r="E51" s="49"/>
    </row>
    <row r="52" spans="1:5">
      <c r="A52" s="48"/>
      <c r="B52" s="49"/>
      <c r="C52" s="49"/>
      <c r="D52" s="49"/>
      <c r="E52" s="49"/>
    </row>
    <row r="53" spans="1:5">
      <c r="A53" s="48"/>
      <c r="B53" s="49"/>
      <c r="C53" s="49"/>
      <c r="D53" s="49"/>
      <c r="E53" s="49"/>
    </row>
    <row r="54" spans="1:5">
      <c r="A54" s="48"/>
      <c r="B54" s="49"/>
      <c r="C54" s="49"/>
      <c r="D54" s="49"/>
      <c r="E54" s="49"/>
    </row>
    <row r="55" spans="1:5">
      <c r="A55" s="48"/>
      <c r="B55" s="49"/>
      <c r="C55" s="49"/>
      <c r="D55" s="49"/>
      <c r="E55" s="49"/>
    </row>
  </sheetData>
  <sheetProtection password="DBEA" sheet="1" objects="1"/>
  <mergeCells count="32">
    <mergeCell ref="A3:B3"/>
    <mergeCell ref="I3:J3"/>
    <mergeCell ref="A4:B4"/>
    <mergeCell ref="I4:J4"/>
    <mergeCell ref="A5:B5"/>
    <mergeCell ref="I5:J5"/>
    <mergeCell ref="A6:B6"/>
    <mergeCell ref="A7:B7"/>
    <mergeCell ref="F7:J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A9:A28"/>
    <mergeCell ref="A1:J2"/>
  </mergeCells>
  <conditionalFormatting sqref="C7">
    <cfRule type="cellIs" dxfId="0" priority="5" operator="equal">
      <formula>"不通过"</formula>
    </cfRule>
  </conditionalFormatting>
  <conditionalFormatting sqref="D9">
    <cfRule type="cellIs" dxfId="1" priority="13" operator="equal">
      <formula>"规则"</formula>
    </cfRule>
  </conditionalFormatting>
  <conditionalFormatting sqref="D10">
    <cfRule type="cellIs" dxfId="1" priority="20" operator="equal">
      <formula>"规则"</formula>
    </cfRule>
  </conditionalFormatting>
  <conditionalFormatting sqref="E10">
    <cfRule type="cellIs" dxfId="2" priority="22" operator="equal">
      <formula>"满足"</formula>
    </cfRule>
    <cfRule type="cellIs" dxfId="3" priority="21" operator="equal">
      <formula>"不满足"</formula>
    </cfRule>
  </conditionalFormatting>
  <conditionalFormatting sqref="D22">
    <cfRule type="cellIs" dxfId="1" priority="23" operator="equal">
      <formula>"规则"</formula>
    </cfRule>
  </conditionalFormatting>
  <conditionalFormatting sqref="D23">
    <cfRule type="cellIs" dxfId="1" priority="26" operator="equal">
      <formula>"规则"</formula>
    </cfRule>
  </conditionalFormatting>
  <conditionalFormatting sqref="D25">
    <cfRule type="cellIs" dxfId="1" priority="16" operator="equal">
      <formula>"规则"</formula>
    </cfRule>
  </conditionalFormatting>
  <conditionalFormatting sqref="D28">
    <cfRule type="cellIs" dxfId="1" priority="10" operator="equal">
      <formula>"规则"</formula>
    </cfRule>
  </conditionalFormatting>
  <conditionalFormatting sqref="D13:D14">
    <cfRule type="cellIs" dxfId="1" priority="30" operator="equal">
      <formula>"规则"</formula>
    </cfRule>
  </conditionalFormatting>
  <conditionalFormatting sqref="D24:D25">
    <cfRule type="cellIs" dxfId="1" priority="25" operator="equal">
      <formula>"规则"</formula>
    </cfRule>
  </conditionalFormatting>
  <conditionalFormatting sqref="D26:D27">
    <cfRule type="cellIs" dxfId="1" priority="24" operator="equal">
      <formula>"规则"</formula>
    </cfRule>
  </conditionalFormatting>
  <conditionalFormatting sqref="H4:H5">
    <cfRule type="cellIs" dxfId="4" priority="6" operator="lessThan">
      <formula>0.95</formula>
    </cfRule>
  </conditionalFormatting>
  <conditionalFormatting sqref="I9:I45">
    <cfRule type="cellIs" dxfId="5" priority="19" operator="equal">
      <formula>"不通过"</formula>
    </cfRule>
  </conditionalFormatting>
  <conditionalFormatting sqref="E11:E28 E9">
    <cfRule type="cellIs" dxfId="3" priority="34" operator="equal">
      <formula>"不满足"</formula>
    </cfRule>
    <cfRule type="cellIs" dxfId="2" priority="35" operator="equal">
      <formula>"满足"</formula>
    </cfRule>
  </conditionalFormatting>
  <conditionalFormatting sqref="D11:D12 D15:D21">
    <cfRule type="cellIs" dxfId="1" priority="33" operator="equal">
      <formula>"规则"</formula>
    </cfRule>
  </conditionalFormatting>
  <dataValidations count="3">
    <dataValidation type="list" allowBlank="1" showInputMessage="1" showErrorMessage="1" sqref="E9 E10 E11:E15 E16:E21 E22:E28">
      <formula1>"满足,不满足,不涉及"</formula1>
    </dataValidation>
    <dataValidation type="list" allowBlank="1" showInputMessage="1" showErrorMessage="1" sqref="C7 I9 I10 I11:I15 I16:I21 I22:I28">
      <formula1>"通过,不通过"</formula1>
    </dataValidation>
    <dataValidation type="list" allowBlank="1" showInputMessage="1" showErrorMessage="1" sqref="D9 D10 D11 D12 D13 D14 D15 D22 D23 D24 D25 D26 D27 D28 D16:D21">
      <formula1>"规则,建议"</formula1>
    </dataValidation>
  </dataValidations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E3" sqref="E3:E5"/>
    </sheetView>
  </sheetViews>
  <sheetFormatPr defaultColWidth="9" defaultRowHeight="13.5"/>
  <cols>
    <col min="2" max="2" width="13.5" customWidth="1"/>
    <col min="3" max="3" width="7.63333333333333" style="2" customWidth="1"/>
    <col min="4" max="4" width="35" style="3" customWidth="1"/>
    <col min="5" max="5" width="31" style="2" customWidth="1"/>
    <col min="8" max="8" width="26.6333333333333" customWidth="1"/>
    <col min="9" max="9" width="10.1333333333333" customWidth="1"/>
    <col min="10" max="10" width="7.75" customWidth="1"/>
    <col min="11" max="11" width="20.75" customWidth="1"/>
  </cols>
  <sheetData>
    <row r="1" ht="29.25" spans="1:11">
      <c r="A1" s="4" t="s">
        <v>78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" customFormat="1" ht="31" customHeight="1" spans="1:11">
      <c r="A2" s="6"/>
      <c r="B2" s="7" t="s">
        <v>79</v>
      </c>
      <c r="C2" s="7" t="s">
        <v>80</v>
      </c>
      <c r="D2" s="7" t="s">
        <v>81</v>
      </c>
      <c r="E2" s="7" t="s">
        <v>82</v>
      </c>
      <c r="F2" s="7" t="s">
        <v>16</v>
      </c>
      <c r="G2" s="7" t="s">
        <v>32</v>
      </c>
      <c r="H2" s="7" t="s">
        <v>33</v>
      </c>
      <c r="I2" s="7" t="s">
        <v>83</v>
      </c>
      <c r="J2" s="7" t="s">
        <v>84</v>
      </c>
      <c r="K2" s="7" t="s">
        <v>35</v>
      </c>
    </row>
    <row r="3" s="1" customFormat="1" ht="150" customHeight="1" spans="1:11">
      <c r="A3" s="8" t="s">
        <v>85</v>
      </c>
      <c r="B3" s="9" t="s">
        <v>86</v>
      </c>
      <c r="C3" s="9">
        <v>85</v>
      </c>
      <c r="D3" s="8" t="s">
        <v>87</v>
      </c>
      <c r="E3" s="8" t="s">
        <v>88</v>
      </c>
      <c r="F3" s="9" t="s">
        <v>25</v>
      </c>
      <c r="G3" s="10" t="s">
        <v>39</v>
      </c>
      <c r="H3" s="9"/>
      <c r="I3" s="12"/>
      <c r="J3" s="19" t="s">
        <v>28</v>
      </c>
      <c r="K3" s="19"/>
    </row>
    <row r="4" s="1" customFormat="1" ht="150" customHeight="1" spans="1:11">
      <c r="A4" s="11"/>
      <c r="B4" s="9" t="s">
        <v>89</v>
      </c>
      <c r="C4" s="9">
        <v>85</v>
      </c>
      <c r="D4" s="11"/>
      <c r="E4" s="11"/>
      <c r="F4" s="9" t="s">
        <v>25</v>
      </c>
      <c r="G4" s="10" t="s">
        <v>39</v>
      </c>
      <c r="H4" s="12"/>
      <c r="I4" s="12"/>
      <c r="J4" s="19" t="s">
        <v>28</v>
      </c>
      <c r="K4" s="19"/>
    </row>
    <row r="5" s="1" customFormat="1" ht="150" customHeight="1" spans="1:11">
      <c r="A5" s="13"/>
      <c r="B5" s="14" t="s">
        <v>90</v>
      </c>
      <c r="C5" s="9">
        <v>50</v>
      </c>
      <c r="D5" s="13"/>
      <c r="E5" s="13"/>
      <c r="F5" s="9" t="s">
        <v>25</v>
      </c>
      <c r="G5" s="10" t="s">
        <v>39</v>
      </c>
      <c r="H5" s="12"/>
      <c r="I5" s="12"/>
      <c r="J5" s="19" t="s">
        <v>28</v>
      </c>
      <c r="K5" s="19"/>
    </row>
    <row r="6" s="1" customFormat="1" ht="150" customHeight="1" spans="1:11">
      <c r="A6" s="8" t="s">
        <v>91</v>
      </c>
      <c r="B6" s="9" t="s">
        <v>86</v>
      </c>
      <c r="C6" s="9">
        <v>85</v>
      </c>
      <c r="D6" s="8" t="s">
        <v>92</v>
      </c>
      <c r="E6" s="8" t="s">
        <v>88</v>
      </c>
      <c r="F6" s="9" t="s">
        <v>25</v>
      </c>
      <c r="G6" s="10" t="s">
        <v>39</v>
      </c>
      <c r="H6" s="9"/>
      <c r="I6" s="12"/>
      <c r="J6" s="19" t="s">
        <v>28</v>
      </c>
      <c r="K6" s="19"/>
    </row>
    <row r="7" s="1" customFormat="1" ht="150" customHeight="1" spans="1:11">
      <c r="A7" s="11"/>
      <c r="B7" s="9" t="s">
        <v>89</v>
      </c>
      <c r="C7" s="9">
        <v>85</v>
      </c>
      <c r="D7" s="11"/>
      <c r="E7" s="11"/>
      <c r="F7" s="9" t="s">
        <v>25</v>
      </c>
      <c r="G7" s="10" t="s">
        <v>39</v>
      </c>
      <c r="H7" s="12"/>
      <c r="I7" s="12"/>
      <c r="J7" s="19" t="s">
        <v>28</v>
      </c>
      <c r="K7" s="19"/>
    </row>
    <row r="8" s="1" customFormat="1" ht="150" customHeight="1" spans="1:11">
      <c r="A8" s="13"/>
      <c r="B8" s="14" t="s">
        <v>90</v>
      </c>
      <c r="C8" s="9">
        <v>50</v>
      </c>
      <c r="D8" s="13"/>
      <c r="E8" s="13"/>
      <c r="F8" s="9" t="s">
        <v>25</v>
      </c>
      <c r="G8" s="10" t="s">
        <v>39</v>
      </c>
      <c r="H8" s="12"/>
      <c r="I8" s="12"/>
      <c r="J8" s="19" t="s">
        <v>28</v>
      </c>
      <c r="K8" s="19"/>
    </row>
    <row r="9" s="1" customFormat="1" ht="150" customHeight="1" spans="1:11">
      <c r="A9" s="8" t="s">
        <v>93</v>
      </c>
      <c r="B9" s="9" t="s">
        <v>86</v>
      </c>
      <c r="C9" s="9">
        <v>85</v>
      </c>
      <c r="D9" s="8" t="s">
        <v>94</v>
      </c>
      <c r="E9" s="8" t="s">
        <v>88</v>
      </c>
      <c r="F9" s="9" t="s">
        <v>25</v>
      </c>
      <c r="G9" s="10" t="s">
        <v>39</v>
      </c>
      <c r="H9" s="9"/>
      <c r="I9" s="12"/>
      <c r="J9" s="19" t="s">
        <v>28</v>
      </c>
      <c r="K9" s="19"/>
    </row>
    <row r="10" s="1" customFormat="1" ht="150" customHeight="1" spans="1:11">
      <c r="A10" s="11"/>
      <c r="B10" s="9" t="s">
        <v>89</v>
      </c>
      <c r="C10" s="9">
        <v>85</v>
      </c>
      <c r="D10" s="11"/>
      <c r="E10" s="11"/>
      <c r="F10" s="9" t="s">
        <v>25</v>
      </c>
      <c r="G10" s="10" t="s">
        <v>39</v>
      </c>
      <c r="H10" s="12"/>
      <c r="I10" s="12"/>
      <c r="J10" s="19" t="s">
        <v>28</v>
      </c>
      <c r="K10" s="19"/>
    </row>
    <row r="11" s="1" customFormat="1" ht="150" customHeight="1" spans="1:11">
      <c r="A11" s="13"/>
      <c r="B11" s="14" t="s">
        <v>90</v>
      </c>
      <c r="C11" s="9">
        <v>50</v>
      </c>
      <c r="D11" s="13"/>
      <c r="E11" s="13"/>
      <c r="F11" s="9" t="s">
        <v>25</v>
      </c>
      <c r="G11" s="10" t="s">
        <v>39</v>
      </c>
      <c r="H11" s="12"/>
      <c r="I11" s="12"/>
      <c r="J11" s="19" t="s">
        <v>28</v>
      </c>
      <c r="K11" s="19"/>
    </row>
    <row r="12" s="1" customFormat="1" ht="150" customHeight="1" spans="1:11">
      <c r="A12" s="8" t="s">
        <v>95</v>
      </c>
      <c r="B12" s="9" t="s">
        <v>86</v>
      </c>
      <c r="C12" s="9">
        <v>85</v>
      </c>
      <c r="D12" s="8" t="s">
        <v>92</v>
      </c>
      <c r="E12" s="8" t="s">
        <v>88</v>
      </c>
      <c r="F12" s="9" t="s">
        <v>25</v>
      </c>
      <c r="G12" s="10" t="s">
        <v>39</v>
      </c>
      <c r="H12" s="9"/>
      <c r="I12" s="12"/>
      <c r="J12" s="19" t="s">
        <v>96</v>
      </c>
      <c r="K12" s="19"/>
    </row>
    <row r="13" s="1" customFormat="1" ht="150" customHeight="1" spans="1:11">
      <c r="A13" s="11"/>
      <c r="B13" s="9" t="s">
        <v>89</v>
      </c>
      <c r="C13" s="9">
        <v>85</v>
      </c>
      <c r="D13" s="11"/>
      <c r="E13" s="11"/>
      <c r="F13" s="9" t="s">
        <v>25</v>
      </c>
      <c r="G13" s="10" t="s">
        <v>39</v>
      </c>
      <c r="H13" s="12"/>
      <c r="I13" s="12"/>
      <c r="J13" s="19" t="s">
        <v>28</v>
      </c>
      <c r="K13" s="19"/>
    </row>
    <row r="14" s="1" customFormat="1" ht="150" customHeight="1" spans="1:11">
      <c r="A14" s="11"/>
      <c r="B14" s="15" t="s">
        <v>90</v>
      </c>
      <c r="C14" s="8">
        <v>50</v>
      </c>
      <c r="D14" s="11"/>
      <c r="E14" s="11"/>
      <c r="F14" s="8" t="s">
        <v>25</v>
      </c>
      <c r="G14" s="16" t="s">
        <v>39</v>
      </c>
      <c r="H14" s="17"/>
      <c r="I14" s="17"/>
      <c r="J14" s="20" t="s">
        <v>28</v>
      </c>
      <c r="K14" s="20"/>
    </row>
    <row r="15" ht="84" customHeight="1" spans="1:11">
      <c r="A15" s="18" t="s">
        <v>97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</sheetData>
  <mergeCells count="14">
    <mergeCell ref="A1:K1"/>
    <mergeCell ref="A15:K15"/>
    <mergeCell ref="A3:A5"/>
    <mergeCell ref="A6:A8"/>
    <mergeCell ref="A9:A11"/>
    <mergeCell ref="A12:A14"/>
    <mergeCell ref="D3:D5"/>
    <mergeCell ref="D6:D8"/>
    <mergeCell ref="D9:D11"/>
    <mergeCell ref="D12:D14"/>
    <mergeCell ref="E3:E5"/>
    <mergeCell ref="E6:E8"/>
    <mergeCell ref="E9:E11"/>
    <mergeCell ref="E12:E14"/>
  </mergeCells>
  <conditionalFormatting sqref="F3">
    <cfRule type="cellIs" dxfId="1" priority="28" operator="equal">
      <formula>"规则"</formula>
    </cfRule>
  </conditionalFormatting>
  <conditionalFormatting sqref="F4">
    <cfRule type="cellIs" dxfId="1" priority="30" operator="equal">
      <formula>"规则"</formula>
    </cfRule>
  </conditionalFormatting>
  <conditionalFormatting sqref="G4">
    <cfRule type="cellIs" dxfId="3" priority="31" operator="equal">
      <formula>"不满足"</formula>
    </cfRule>
    <cfRule type="cellIs" dxfId="2" priority="32" operator="equal">
      <formula>"满足"</formula>
    </cfRule>
  </conditionalFormatting>
  <conditionalFormatting sqref="F5">
    <cfRule type="cellIs" dxfId="1" priority="35" operator="equal">
      <formula>"规则"</formula>
    </cfRule>
  </conditionalFormatting>
  <conditionalFormatting sqref="F6">
    <cfRule type="cellIs" dxfId="1" priority="19" operator="equal">
      <formula>"规则"</formula>
    </cfRule>
  </conditionalFormatting>
  <conditionalFormatting sqref="F7">
    <cfRule type="cellIs" dxfId="1" priority="21" operator="equal">
      <formula>"规则"</formula>
    </cfRule>
  </conditionalFormatting>
  <conditionalFormatting sqref="G7">
    <cfRule type="cellIs" dxfId="2" priority="23" operator="equal">
      <formula>"满足"</formula>
    </cfRule>
    <cfRule type="cellIs" dxfId="3" priority="22" operator="equal">
      <formula>"不满足"</formula>
    </cfRule>
  </conditionalFormatting>
  <conditionalFormatting sqref="F8">
    <cfRule type="cellIs" dxfId="1" priority="25" operator="equal">
      <formula>"规则"</formula>
    </cfRule>
  </conditionalFormatting>
  <conditionalFormatting sqref="F9">
    <cfRule type="cellIs" dxfId="1" priority="10" operator="equal">
      <formula>"规则"</formula>
    </cfRule>
  </conditionalFormatting>
  <conditionalFormatting sqref="F10">
    <cfRule type="cellIs" dxfId="1" priority="12" operator="equal">
      <formula>"规则"</formula>
    </cfRule>
  </conditionalFormatting>
  <conditionalFormatting sqref="G10">
    <cfRule type="cellIs" dxfId="2" priority="14" operator="equal">
      <formula>"满足"</formula>
    </cfRule>
    <cfRule type="cellIs" dxfId="3" priority="13" operator="equal">
      <formula>"不满足"</formula>
    </cfRule>
  </conditionalFormatting>
  <conditionalFormatting sqref="F11">
    <cfRule type="cellIs" dxfId="1" priority="16" operator="equal">
      <formula>"规则"</formula>
    </cfRule>
  </conditionalFormatting>
  <conditionalFormatting sqref="F12">
    <cfRule type="cellIs" dxfId="1" priority="1" operator="equal">
      <formula>"规则"</formula>
    </cfRule>
  </conditionalFormatting>
  <conditionalFormatting sqref="F13">
    <cfRule type="cellIs" dxfId="1" priority="3" operator="equal">
      <formula>"规则"</formula>
    </cfRule>
  </conditionalFormatting>
  <conditionalFormatting sqref="G13">
    <cfRule type="cellIs" dxfId="2" priority="5" operator="equal">
      <formula>"满足"</formula>
    </cfRule>
    <cfRule type="cellIs" dxfId="3" priority="4" operator="equal">
      <formula>"不满足"</formula>
    </cfRule>
  </conditionalFormatting>
  <conditionalFormatting sqref="F14">
    <cfRule type="cellIs" dxfId="1" priority="7" operator="equal">
      <formula>"规则"</formula>
    </cfRule>
  </conditionalFormatting>
  <conditionalFormatting sqref="J3:J25">
    <cfRule type="cellIs" dxfId="5" priority="2" operator="equal">
      <formula>"不通过"</formula>
    </cfRule>
  </conditionalFormatting>
  <conditionalFormatting sqref="G5 G3">
    <cfRule type="cellIs" dxfId="3" priority="36" operator="equal">
      <formula>"不满足"</formula>
    </cfRule>
    <cfRule type="cellIs" dxfId="2" priority="37" operator="equal">
      <formula>"满足"</formula>
    </cfRule>
  </conditionalFormatting>
  <conditionalFormatting sqref="G8 G6">
    <cfRule type="cellIs" dxfId="2" priority="27" operator="equal">
      <formula>"满足"</formula>
    </cfRule>
    <cfRule type="cellIs" dxfId="3" priority="26" operator="equal">
      <formula>"不满足"</formula>
    </cfRule>
  </conditionalFormatting>
  <conditionalFormatting sqref="G11 G9">
    <cfRule type="cellIs" dxfId="2" priority="18" operator="equal">
      <formula>"满足"</formula>
    </cfRule>
    <cfRule type="cellIs" dxfId="3" priority="17" operator="equal">
      <formula>"不满足"</formula>
    </cfRule>
  </conditionalFormatting>
  <conditionalFormatting sqref="G14 G12">
    <cfRule type="cellIs" dxfId="2" priority="9" operator="equal">
      <formula>"满足"</formula>
    </cfRule>
    <cfRule type="cellIs" dxfId="3" priority="8" operator="equal">
      <formula>"不满足"</formula>
    </cfRule>
  </conditionalFormatting>
  <dataValidations count="3">
    <dataValidation type="list" allowBlank="1" showInputMessage="1" showErrorMessage="1" sqref="F3:F5 F6:F8 F9:F11 F12:F14">
      <formula1>"规则,建议"</formula1>
    </dataValidation>
    <dataValidation type="list" allowBlank="1" showInputMessage="1" showErrorMessage="1" sqref="J3:J5 J6:J8 J9:J11 J12:J14">
      <formula1>"通过,不通过"</formula1>
    </dataValidation>
    <dataValidation type="list" allowBlank="1" showInputMessage="1" showErrorMessage="1" sqref="G3:G5 G6:G8 G9:G11 G12:G14">
      <formula1>"满足,不满足,不涉及"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版本管理</vt:lpstr>
      <vt:lpstr>DDR模板 PCB checklist</vt:lpstr>
      <vt:lpstr>阻抗，等长需求表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xiongfangmin</cp:lastModifiedBy>
  <dcterms:created xsi:type="dcterms:W3CDTF">2021-11-29T03:01:00Z</dcterms:created>
  <dcterms:modified xsi:type="dcterms:W3CDTF">2024-11-14T07:54:17Z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54049E0311C44D51B958B0D301ACDD7F</vt:lpwstr>
  </property>
</Properties>
</file>