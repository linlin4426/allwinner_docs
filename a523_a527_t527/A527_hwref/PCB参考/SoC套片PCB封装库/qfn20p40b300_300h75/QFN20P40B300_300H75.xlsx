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270"/>
  </bookViews>
  <sheets>
    <sheet name="checklist" sheetId="4" r:id="rId1"/>
    <sheet name="尺寸计算器" sheetId="5" r:id="rId2"/>
    <sheet name="Revision History" sheetId="2" r:id="rId3"/>
  </sheets>
  <calcPr calcId="144525"/>
</workbook>
</file>

<file path=xl/sharedStrings.xml><?xml version="1.0" encoding="utf-8"?>
<sst xmlns="http://schemas.openxmlformats.org/spreadsheetml/2006/main" count="228" uniqueCount="145">
  <si>
    <t>序号</t>
  </si>
  <si>
    <t>检查项目</t>
  </si>
  <si>
    <t>引用规范条目</t>
  </si>
  <si>
    <t>主要要求</t>
  </si>
  <si>
    <t>是否符合</t>
  </si>
  <si>
    <t>不符合情况说明</t>
  </si>
  <si>
    <t>焊盘命名</t>
  </si>
  <si>
    <t>命名基本原则：
焊盘类型或形状简称 + 焊盘短边尺寸_长边尺寸 + D 通孔短边尺寸_长边尺寸
+ 识别码</t>
  </si>
  <si>
    <t>√</t>
  </si>
  <si>
    <t>按QFN210P40B300_300H75改 大焊盘 165x165</t>
  </si>
  <si>
    <t>焊盘尺寸</t>
  </si>
  <si>
    <t>2.5、4.3、4.5、5.2、6.2、</t>
  </si>
  <si>
    <t>元件资料有推荐设计的，优先参考推荐设计。</t>
  </si>
  <si>
    <t>NA</t>
  </si>
  <si>
    <t>没有推荐设计，或推荐设计明显不合理的，焊盘尺寸参考本规范下文各元件封装设计细则4.3、4.5、5.2、6.2。</t>
  </si>
  <si>
    <t>焊盘设计依据，取器件管脚尺寸的中间值或 Typical 值。</t>
  </si>
  <si>
    <t>焊盘间距 ≥ 0.20mm。（Pitch≤0.40mm 的 BGA、Pitch＜0.40mm 的其他器件，焊盘间距可适当减小。</t>
  </si>
  <si>
    <t>定位孔类型为NPTH，孔直径比定位引脚最大尺寸大0.1mm</t>
  </si>
  <si>
    <t>焊盘阻焊开窗</t>
  </si>
  <si>
    <t>阻焊尺寸比焊盘单边大0.05 mm。</t>
  </si>
  <si>
    <t>阻焊开窗边缘间距 ≥0.10 mm。</t>
  </si>
  <si>
    <t>BGA阻焊要求</t>
  </si>
  <si>
    <t>焊盘钢网开窗</t>
  </si>
  <si>
    <t>表贴焊盘带钢网，通孔焊盘不带钢网。</t>
  </si>
  <si>
    <t>钢网一般与焊盘同大。</t>
  </si>
  <si>
    <t>钢网中心与焊盘中心重叠。</t>
  </si>
  <si>
    <t>QFN/DFN/表面焊盘连接器等，钢网开窗需要往焊盘外侧偏移。</t>
  </si>
  <si>
    <t>钢网必须加载在PAD中。</t>
  </si>
  <si>
    <t>特殊钢网设计：阻容感、BGA、QFN/DFN/表面焊盘连接器</t>
  </si>
  <si>
    <t>5.2.3</t>
  </si>
  <si>
    <t>非焊接弹片接触封装（如REC、SPK）的焊盘不能增加钢网层</t>
  </si>
  <si>
    <t>散热焊盘设计</t>
  </si>
  <si>
    <t>散热焊盘尺寸取实物尺寸最大值。</t>
  </si>
  <si>
    <t>保证散热焊盘与信号焊盘间距 ≥0.25mm</t>
  </si>
  <si>
    <t>散热焊盘钢网开窗</t>
  </si>
  <si>
    <t>开窗面积为ePad面积的40-60%。</t>
  </si>
  <si>
    <t>开窗边缘与 ePad 边缘距离 ≥0.20mm。</t>
  </si>
  <si>
    <t>如果散热焊盘边长 ≥2.60mm，需要拆分为 1.00 x1.00 mm 的网格开窗，网格开窗之间边缘距离 = 0.20mm。所有网格开窗以 0.05mm 的桥连接成单一的 shape。</t>
  </si>
  <si>
    <t>钢网必须加载在 PAD 中，不能以 shape 形式加在 dra 中。</t>
  </si>
  <si>
    <t>焊盘间距-中心到中心</t>
  </si>
  <si>
    <t>4.3、5.2、6.2、7.1</t>
  </si>
  <si>
    <t>焊盘间距-脚跟到脚跟</t>
  </si>
  <si>
    <t>4.3、5.2、6.2、7.2</t>
  </si>
  <si>
    <t>焊盘间距-脚尖到脚尖</t>
  </si>
  <si>
    <t>焊盘间距-脚边到脚边</t>
  </si>
  <si>
    <t>焊盘x轴位置</t>
  </si>
  <si>
    <t>与datasheet是否一致，是否左右上下对称</t>
  </si>
  <si>
    <t>焊盘y轴位置</t>
  </si>
  <si>
    <t>Pin Number</t>
  </si>
  <si>
    <t>定义：与Datasheet、原理图定义一致。</t>
  </si>
  <si>
    <t>参考引脚分布及标识图</t>
  </si>
  <si>
    <t>字符位置：PIN中心。</t>
  </si>
  <si>
    <t>字符类型：TEXT_BLOCK#9 ，尺寸为：0.25mm x 0.25mm，线宽0。如果字符重叠，适当的减小字符。</t>
  </si>
  <si>
    <t>Pin排列顺序</t>
  </si>
  <si>
    <t>与datasheet是否一致</t>
  </si>
  <si>
    <t>封装命名</t>
  </si>
  <si>
    <t>命名基本原则：
元件类型简称 + PIN Number + P引脚间距 + B元件体短边_长边 + H高度 +识别码1 + 识别码2</t>
  </si>
  <si>
    <t>4.1 SMD 无源元件的命名方法”、</t>
  </si>
  <si>
    <t>4.2 SMD IC 的命名方法”、</t>
  </si>
  <si>
    <t>4.4 插装元件的命名方法”、</t>
  </si>
  <si>
    <t>5.1 连接器的命名方法”、</t>
  </si>
  <si>
    <t>6.1 子电路板的命名”。</t>
  </si>
  <si>
    <t>设计单位、精度</t>
  </si>
  <si>
    <t>设计单位：mm。
设计精度：0.01mm。</t>
  </si>
  <si>
    <t>第一引脚标识</t>
  </si>
  <si>
    <t>所在层：PACKAGE GEOMETRY/ SILKSCREEN_TOP；</t>
  </si>
  <si>
    <t>标识类型：Circle，线宽 0.25mm，直径 0.50mm。</t>
  </si>
  <si>
    <t>标识位置：紧靠进第一引脚相切放置，但是至少需要有 2/3 在器件本体外面。</t>
  </si>
  <si>
    <t>第一引脚极性、位置</t>
  </si>
  <si>
    <t>第一引脚在左上角。</t>
  </si>
  <si>
    <t>两个引脚的极性器件，第一引脚在左边，且必须是正极。</t>
  </si>
  <si>
    <t>PLCC，第一引脚在正上方中间</t>
  </si>
  <si>
    <t>极性标识</t>
  </si>
  <si>
    <t>Line width：0.10 mm；</t>
  </si>
  <si>
    <t>标识位置</t>
  </si>
  <si>
    <t>封装原点</t>
  </si>
  <si>
    <t>封装原点设定在元件图形的几何中心。</t>
  </si>
  <si>
    <t>不规则外形的封装，原点设定在外框对角线交点。</t>
  </si>
  <si>
    <t>Place Bound</t>
  </si>
  <si>
    <t>元件实体 Shape 面积取元件实体的最大值，Shape 高度等于元件高度最大值 + 0.10mm 锡膏厚度。</t>
  </si>
  <si>
    <t>安全间距 Shape 面积取元件实体和焊盘最大值 + 安全间距 Ce，挖空与元件实体 Shape 重叠部分。安全间距 Ce 通常为 0.20-1.00mm，具体取值参考各元件封装设计细则。Shape 高度等于 0.0001mm。</t>
  </si>
  <si>
    <t>破板器件还需要设置 PLACE_BOUND_BOTTOM 区域和高度（通常是器件高度最大值减去 PLACE_BOUND_TOP 高度）。</t>
  </si>
  <si>
    <t>5.2.2.4</t>
  </si>
  <si>
    <t>通孔焊盘需要设计Place_Bound_Bottom，Place_Bound_Bottom区域比焊盘大1mm, 精密类产品可放宽到0.8mm。Bottom高度等于管脚高度。防止焊盘与背面器件干涉。</t>
  </si>
  <si>
    <t>外框丝印</t>
  </si>
  <si>
    <t>丝印层外框取原件实体的最大值。所在层：PACKAGE GEOMETRY/SILKSCREEN_TOP；Line width：0.10mm；</t>
  </si>
  <si>
    <t>装配层外框与安全间距 Shape同大。所在层：PACKAGE GEOMETRY/Assembly_TOP；Line width：0。</t>
  </si>
  <si>
    <t>5.2.1.5</t>
  </si>
  <si>
    <t>破板器件的破板线，在Board outline层体现。掏圆弧处理。</t>
  </si>
  <si>
    <t>Route Keepout</t>
  </si>
  <si>
    <t>5.2.2.1</t>
  </si>
  <si>
    <t>NPTH通孔需要加Keepout all区域，Keepout all半径比通孔半径大0.25mm</t>
  </si>
  <si>
    <t>对于规格书有 route keepout 要求的，需要在封装中按照具体的尺寸体现出来。</t>
  </si>
  <si>
    <t>元件位号</t>
  </si>
  <si>
    <t>字符内容：REF</t>
  </si>
  <si>
    <t>所在层：REFDES/SILKSCREEN_TOP</t>
  </si>
  <si>
    <t>字符位置：器件中心。</t>
  </si>
  <si>
    <t>字符类型：TEXT_BLOCK#2 ，默认尺寸为：0.58 x 0.78mm（23 x 31mil）；Photoplot width：0.10mm；Char Space：0.20mm。</t>
  </si>
  <si>
    <t>不要求丝印位号的元件，位号所在层：REFDES/DISPLAY_TOP；（此层默认不出 Gerber）</t>
  </si>
  <si>
    <t>元件值</t>
  </si>
  <si>
    <t>字符内容：VAL</t>
  </si>
  <si>
    <t>要求丝印 VALUE 值的元件（测试点、跳线、开关、按键 等），所在层：COMPONENT VALUE/SILKSCREEN_TOP；（此层默认出 Gerber）</t>
  </si>
  <si>
    <t>不要求丝印 VALUE 值的元件，所在层：COMPONENT VALUE/DISPLAY_TOP；（此层默认不出 Gerber）</t>
  </si>
  <si>
    <t>字符类型：TEXT_BLOCK#2 ，默认尺寸为：0.58 x 0.78mm（23 x 31mil），Photoplot width：0.10mm；Char Space：0.20mm。</t>
  </si>
  <si>
    <t>所有Subclass没有多余的字符、图形</t>
  </si>
  <si>
    <t>导入统一的参数设置文件</t>
  </si>
  <si>
    <t>必须清除焊盘缓存</t>
  </si>
  <si>
    <t>参数输入</t>
  </si>
  <si>
    <t>Jt（脚尖要求值）
mm</t>
  </si>
  <si>
    <t>Jh（脚跟要求值）
mm</t>
  </si>
  <si>
    <t>Js（脚边要求值）
mm</t>
  </si>
  <si>
    <t>管脚长度L1
mm</t>
  </si>
  <si>
    <t>管脚外缘距离E1
mm</t>
  </si>
  <si>
    <t>管脚宽度b
mm</t>
  </si>
  <si>
    <t>管脚中心距e
mm</t>
  </si>
  <si>
    <t>计算结果</t>
  </si>
  <si>
    <t>焊盘长度
mm</t>
  </si>
  <si>
    <t>焊盘宽度
mm</t>
  </si>
  <si>
    <t>焊盘间距-脚尖到脚尖
mm</t>
  </si>
  <si>
    <t>焊盘间距-中心到中心
mm</t>
  </si>
  <si>
    <t>焊盘间距-脚跟到脚跟
mm</t>
  </si>
  <si>
    <t>焊盘间距-脚边到脚边
mm</t>
  </si>
  <si>
    <t>Revision History</t>
  </si>
  <si>
    <t>Version</t>
  </si>
  <si>
    <t>Date</t>
  </si>
  <si>
    <t>Section/ Page</t>
  </si>
  <si>
    <t>Changes compared to previous issue</t>
  </si>
  <si>
    <t>Revisor</t>
  </si>
  <si>
    <t>V1.0</t>
  </si>
  <si>
    <t>ALL</t>
  </si>
  <si>
    <t>Initial</t>
  </si>
  <si>
    <t>陈锐榜、王娇妹</t>
  </si>
  <si>
    <t>V1.1</t>
  </si>
  <si>
    <t>增加主要要求列</t>
  </si>
  <si>
    <t>陈锐榜</t>
  </si>
  <si>
    <t>V1.2</t>
  </si>
  <si>
    <t>增加特殊钢网封装列表</t>
  </si>
  <si>
    <t>V2.0</t>
  </si>
  <si>
    <t>根据封装规范V2.0，修改细化各项</t>
  </si>
  <si>
    <t>V2.1</t>
  </si>
  <si>
    <r>
      <rPr>
        <sz val="9"/>
        <rFont val="Times New Roman"/>
        <charset val="0"/>
      </rPr>
      <t>1</t>
    </r>
    <r>
      <rPr>
        <sz val="9"/>
        <rFont val="宋体"/>
        <charset val="134"/>
      </rPr>
      <t>、要求丝印</t>
    </r>
    <r>
      <rPr>
        <sz val="9"/>
        <rFont val="Times New Roman"/>
        <charset val="0"/>
      </rPr>
      <t>VALUE</t>
    </r>
    <r>
      <rPr>
        <sz val="9"/>
        <rFont val="宋体"/>
        <charset val="134"/>
      </rPr>
      <t>值所在层改为：</t>
    </r>
    <r>
      <rPr>
        <sz val="9"/>
        <rFont val="Times New Roman"/>
        <charset val="0"/>
      </rPr>
      <t>SILKSCREEN_TOP
2</t>
    </r>
    <r>
      <rPr>
        <sz val="9"/>
        <rFont val="宋体"/>
        <charset val="134"/>
      </rPr>
      <t>、装配层外框改为与安全间距</t>
    </r>
    <r>
      <rPr>
        <sz val="9"/>
        <rFont val="Times New Roman"/>
        <charset val="0"/>
      </rPr>
      <t>shape</t>
    </r>
    <r>
      <rPr>
        <sz val="9"/>
        <rFont val="宋体"/>
        <charset val="134"/>
      </rPr>
      <t>同大</t>
    </r>
    <r>
      <rPr>
        <sz val="9"/>
        <rFont val="Times New Roman"/>
        <charset val="0"/>
      </rPr>
      <t xml:space="preserve">
3</t>
    </r>
    <r>
      <rPr>
        <sz val="9"/>
        <rFont val="宋体"/>
        <charset val="134"/>
      </rPr>
      <t>、</t>
    </r>
    <r>
      <rPr>
        <sz val="9"/>
        <rFont val="Times New Roman"/>
        <charset val="0"/>
      </rPr>
      <t>pin number</t>
    </r>
    <r>
      <rPr>
        <sz val="9"/>
        <rFont val="宋体"/>
        <charset val="134"/>
      </rPr>
      <t>改为</t>
    </r>
    <r>
      <rPr>
        <sz val="9"/>
        <rFont val="Times New Roman"/>
        <charset val="0"/>
      </rPr>
      <t>9</t>
    </r>
    <r>
      <rPr>
        <sz val="9"/>
        <rFont val="宋体"/>
        <charset val="134"/>
      </rPr>
      <t>号字体</t>
    </r>
    <r>
      <rPr>
        <sz val="9"/>
        <rFont val="Times New Roman"/>
        <charset val="0"/>
      </rPr>
      <t xml:space="preserve">
4</t>
    </r>
    <r>
      <rPr>
        <sz val="9"/>
        <rFont val="宋体"/>
        <charset val="134"/>
      </rPr>
      <t>、封装</t>
    </r>
    <r>
      <rPr>
        <sz val="9"/>
        <rFont val="Times New Roman"/>
        <charset val="0"/>
      </rPr>
      <t>PIN1</t>
    </r>
    <r>
      <rPr>
        <sz val="9"/>
        <rFont val="宋体"/>
        <charset val="134"/>
      </rPr>
      <t>标识增大为</t>
    </r>
    <r>
      <rPr>
        <sz val="9"/>
        <rFont val="Times New Roman"/>
        <charset val="0"/>
      </rPr>
      <t>0.25</t>
    </r>
    <r>
      <rPr>
        <sz val="9"/>
        <rFont val="宋体"/>
        <charset val="134"/>
      </rPr>
      <t>线宽</t>
    </r>
    <r>
      <rPr>
        <sz val="9"/>
        <rFont val="Times New Roman"/>
        <charset val="0"/>
      </rPr>
      <t>/0.50</t>
    </r>
    <r>
      <rPr>
        <sz val="9"/>
        <rFont val="宋体"/>
        <charset val="134"/>
      </rPr>
      <t>直径
5、增加尺寸计算器</t>
    </r>
  </si>
  <si>
    <t>V2.2</t>
  </si>
  <si>
    <t>1、增加不需要丝印位号的规则
2、优化尺寸计算器</t>
  </si>
  <si>
    <t>V2.3</t>
  </si>
  <si>
    <r>
      <rPr>
        <sz val="9"/>
        <rFont val="Times New Roman"/>
        <charset val="0"/>
      </rPr>
      <t>1</t>
    </r>
    <r>
      <rPr>
        <sz val="9"/>
        <rFont val="宋体"/>
        <charset val="134"/>
      </rPr>
      <t>、增加</t>
    </r>
    <r>
      <rPr>
        <sz val="9"/>
        <rFont val="Times New Roman"/>
        <charset val="0"/>
      </rPr>
      <t>NPTH</t>
    </r>
    <r>
      <rPr>
        <sz val="9"/>
        <rFont val="宋体"/>
        <charset val="134"/>
      </rPr>
      <t>通孔</t>
    </r>
    <r>
      <rPr>
        <sz val="9"/>
        <rFont val="Times New Roman"/>
        <charset val="0"/>
      </rPr>
      <t>Keepout all</t>
    </r>
    <r>
      <rPr>
        <sz val="9"/>
        <rFont val="宋体"/>
        <charset val="134"/>
      </rPr>
      <t>要求</t>
    </r>
    <r>
      <rPr>
        <sz val="9"/>
        <rFont val="Times New Roman"/>
        <charset val="0"/>
      </rPr>
      <t xml:space="preserve">
2</t>
    </r>
    <r>
      <rPr>
        <sz val="9"/>
        <rFont val="宋体"/>
        <charset val="134"/>
      </rPr>
      <t>、增加破板器件的破板线要求
3、增加定位孔尺寸要求</t>
    </r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</si>
</sst>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yyyy\-m\-d;@"/>
    <numFmt numFmtId="177" formatCode="0.00_ "/>
  </numFmts>
  <fonts count="34">
    <font>
      <sz val="12"/>
      <name val="宋体"/>
      <charset val="134"/>
    </font>
    <font>
      <b/>
      <sz val="16"/>
      <name val="宋体"/>
      <charset val="134"/>
    </font>
    <font>
      <b/>
      <sz val="12"/>
      <name val="Times New Roman"/>
      <charset val="0"/>
    </font>
    <font>
      <sz val="9"/>
      <name val="宋体"/>
      <charset val="134"/>
    </font>
    <font>
      <sz val="9"/>
      <name val="Times New Roman"/>
      <charset val="0"/>
    </font>
    <font>
      <sz val="10.5"/>
      <name val="黑体"/>
      <charset val="134"/>
    </font>
    <font>
      <sz val="10.5"/>
      <name val="Times New Roman"/>
      <charset val="0"/>
    </font>
    <font>
      <sz val="10.5"/>
      <name val="宋体"/>
      <charset val="134"/>
    </font>
    <font>
      <sz val="16"/>
      <color indexed="10"/>
      <name val="宋体"/>
      <charset val="134"/>
    </font>
    <font>
      <sz val="12"/>
      <color indexed="10"/>
      <name val="宋体"/>
      <charset val="134"/>
    </font>
    <font>
      <b/>
      <sz val="12"/>
      <name val="宋体"/>
      <charset val="134"/>
    </font>
    <font>
      <sz val="18"/>
      <color indexed="10"/>
      <name val="宋体"/>
      <charset val="134"/>
    </font>
    <font>
      <b/>
      <sz val="9"/>
      <name val="宋体"/>
      <charset val="134"/>
    </font>
    <font>
      <sz val="9"/>
      <name val="Arial"/>
      <charset val="0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</fills>
  <borders count="31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87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23" fillId="22" borderId="2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1" fillId="34" borderId="30" applyNumberFormat="0" applyFon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Protection="0">
      <alignment horizontal="left" vertical="center"/>
    </xf>
    <xf numFmtId="0" fontId="17" fillId="25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5" fillId="0" borderId="23" applyNumberFormat="0" applyFill="0" applyAlignment="0" applyProtection="0">
      <alignment vertical="center"/>
    </xf>
    <xf numFmtId="0" fontId="14" fillId="0" borderId="23" applyNumberFormat="0" applyFill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28" fillId="0" borderId="28" applyNumberFormat="0" applyFill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30" fillId="4" borderId="29" applyNumberFormat="0" applyAlignment="0" applyProtection="0">
      <alignment vertical="center"/>
    </xf>
    <xf numFmtId="0" fontId="15" fillId="4" borderId="24" applyNumberFormat="0" applyAlignment="0" applyProtection="0">
      <alignment vertical="center"/>
    </xf>
    <xf numFmtId="0" fontId="21" fillId="14" borderId="26" applyNumberForma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9" fillId="0" borderId="25" applyNumberFormat="0" applyFill="0" applyAlignment="0" applyProtection="0">
      <alignment vertical="center"/>
    </xf>
    <xf numFmtId="0" fontId="24" fillId="0" borderId="27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0" fillId="0" borderId="0" applyNumberFormat="0" applyFill="0" applyBorder="0" applyProtection="0">
      <alignment vertical="center"/>
    </xf>
    <xf numFmtId="0" fontId="10" fillId="0" borderId="0" applyNumberFormat="0" applyFill="0" applyBorder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horizontal="center"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0" fillId="0" borderId="0" applyNumberFormat="0" applyFill="0" applyBorder="0" applyProtection="0">
      <alignment vertical="center"/>
    </xf>
    <xf numFmtId="0" fontId="3" fillId="0" borderId="0">
      <alignment vertical="center"/>
    </xf>
    <xf numFmtId="0" fontId="10" fillId="0" borderId="0" applyNumberFormat="0" applyFill="0" applyBorder="0" applyProtection="0">
      <alignment vertical="center"/>
    </xf>
    <xf numFmtId="0" fontId="10" fillId="0" borderId="0" applyNumberFormat="0" applyFill="0" applyBorder="0" applyProtection="0">
      <alignment horizontal="left" vertical="center"/>
    </xf>
    <xf numFmtId="0" fontId="10" fillId="0" borderId="0" applyNumberFormat="0" applyFill="0" applyBorder="0" applyProtection="0">
      <alignment horizontal="left" vertical="center"/>
    </xf>
    <xf numFmtId="0" fontId="10" fillId="0" borderId="0" applyNumberFormat="0" applyFill="0" applyBorder="0" applyProtection="0">
      <alignment vertical="center"/>
    </xf>
    <xf numFmtId="0" fontId="10" fillId="0" borderId="0" applyNumberFormat="0" applyFill="0" applyBorder="0" applyProtection="0">
      <alignment horizontal="justify" vertical="center"/>
    </xf>
    <xf numFmtId="0" fontId="0" fillId="0" borderId="0" applyNumberFormat="0" applyFont="0" applyFill="0" applyBorder="0" applyProtection="0">
      <alignment horizontal="left" vertical="center" indent="2"/>
    </xf>
    <xf numFmtId="0" fontId="10" fillId="0" borderId="0" applyNumberFormat="0" applyFill="0" applyBorder="0" applyProtection="0">
      <alignment vertical="center"/>
    </xf>
    <xf numFmtId="0" fontId="10" fillId="0" borderId="0" applyNumberFormat="0" applyFill="0" applyBorder="0" applyProtection="0">
      <alignment vertical="center"/>
    </xf>
    <xf numFmtId="0" fontId="10" fillId="0" borderId="0" applyNumberFormat="0" applyFill="0" applyBorder="0" applyProtection="0">
      <alignment vertical="center"/>
    </xf>
    <xf numFmtId="0" fontId="10" fillId="0" borderId="0" applyNumberFormat="0" applyFill="0" applyBorder="0" applyProtection="0">
      <alignment horizontal="center" vertical="center"/>
    </xf>
    <xf numFmtId="0" fontId="10" fillId="0" borderId="0" applyNumberFormat="0" applyFill="0" applyBorder="0" applyProtection="0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0" borderId="0" applyNumberFormat="0" applyFill="0" applyBorder="0" applyProtection="0">
      <alignment horizontal="left" vertical="center" indent="2"/>
    </xf>
    <xf numFmtId="0" fontId="10" fillId="0" borderId="0" applyNumberFormat="0" applyFill="0" applyBorder="0" applyProtection="0">
      <alignment horizontal="justify"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0" borderId="0" applyNumberFormat="0" applyFill="0" applyBorder="0" applyProtection="0">
      <alignment horizontal="center" vertical="center"/>
    </xf>
    <xf numFmtId="0" fontId="10" fillId="0" borderId="0" applyNumberFormat="0" applyFill="0" applyBorder="0" applyProtection="0">
      <alignment horizontal="left" vertical="center"/>
    </xf>
    <xf numFmtId="0" fontId="10" fillId="0" borderId="0" applyNumberFormat="0" applyFill="0" applyBorder="0" applyProtection="0">
      <alignment vertical="center"/>
    </xf>
    <xf numFmtId="0" fontId="10" fillId="0" borderId="0" applyNumberFormat="0" applyFill="0" applyBorder="0" applyProtection="0">
      <alignment vertical="center"/>
    </xf>
    <xf numFmtId="0" fontId="10" fillId="0" borderId="0" applyNumberFormat="0" applyFill="0" applyBorder="0" applyProtection="0">
      <alignment vertical="center"/>
    </xf>
    <xf numFmtId="0" fontId="10" fillId="0" borderId="0" applyNumberFormat="0" applyFill="0" applyBorder="0" applyProtection="0">
      <alignment horizontal="justify" vertical="center"/>
    </xf>
    <xf numFmtId="0" fontId="10" fillId="0" borderId="0" applyNumberFormat="0" applyFill="0" applyBorder="0" applyProtection="0">
      <alignment horizontal="justify" vertical="center"/>
    </xf>
    <xf numFmtId="0" fontId="0" fillId="35" borderId="0" applyNumberFormat="0" applyFont="0" applyBorder="0" applyAlignment="0" applyProtection="0">
      <alignment vertical="center"/>
    </xf>
    <xf numFmtId="0" fontId="0" fillId="36" borderId="0" applyNumberFormat="0" applyFont="0" applyBorder="0" applyAlignment="0" applyProtection="0">
      <alignment vertical="center"/>
    </xf>
    <xf numFmtId="0" fontId="3" fillId="0" borderId="0">
      <alignment vertical="center"/>
    </xf>
    <xf numFmtId="0" fontId="10" fillId="0" borderId="0" applyNumberFormat="0" applyFill="0" applyBorder="0" applyProtection="0">
      <alignment vertical="center"/>
    </xf>
  </cellStyleXfs>
  <cellXfs count="76">
    <xf numFmtId="0" fontId="0" fillId="0" borderId="0" xfId="0">
      <alignment vertical="center"/>
    </xf>
    <xf numFmtId="176" fontId="0" fillId="0" borderId="0" xfId="0" applyNumberFormat="1" applyAlignment="1">
      <alignment horizontal="left" vertical="center"/>
    </xf>
    <xf numFmtId="0" fontId="1" fillId="0" borderId="0" xfId="74" applyFont="1" applyAlignment="1">
      <alignment horizontal="left" vertical="center"/>
    </xf>
    <xf numFmtId="0" fontId="0" fillId="0" borderId="0" xfId="74" applyFont="1" applyAlignment="1">
      <alignment horizontal="justify" vertical="center"/>
    </xf>
    <xf numFmtId="0" fontId="2" fillId="0" borderId="1" xfId="74" applyFont="1" applyBorder="1" applyAlignment="1">
      <alignment horizontal="left" vertical="center" wrapText="1"/>
    </xf>
    <xf numFmtId="176" fontId="2" fillId="0" borderId="2" xfId="74" applyNumberFormat="1" applyFont="1" applyBorder="1" applyAlignment="1">
      <alignment horizontal="left" vertical="center" wrapText="1"/>
    </xf>
    <xf numFmtId="0" fontId="2" fillId="0" borderId="2" xfId="74" applyFont="1" applyBorder="1" applyAlignment="1">
      <alignment horizontal="left" vertical="center" wrapText="1"/>
    </xf>
    <xf numFmtId="0" fontId="3" fillId="0" borderId="3" xfId="74" applyFont="1" applyBorder="1" applyAlignment="1">
      <alignment horizontal="justify" vertical="center" wrapText="1"/>
    </xf>
    <xf numFmtId="176" fontId="3" fillId="0" borderId="4" xfId="74" applyNumberFormat="1" applyFont="1" applyBorder="1" applyAlignment="1">
      <alignment horizontal="left" vertical="center" wrapText="1"/>
    </xf>
    <xf numFmtId="0" fontId="3" fillId="0" borderId="4" xfId="74" applyFont="1" applyBorder="1" applyAlignment="1">
      <alignment horizontal="justify" vertical="center" wrapText="1"/>
    </xf>
    <xf numFmtId="0" fontId="4" fillId="0" borderId="3" xfId="74" applyFont="1" applyBorder="1" applyAlignment="1">
      <alignment horizontal="justify" vertical="center" wrapText="1"/>
    </xf>
    <xf numFmtId="176" fontId="4" fillId="0" borderId="4" xfId="74" applyNumberFormat="1" applyFont="1" applyBorder="1" applyAlignment="1">
      <alignment horizontal="left" vertical="center" wrapText="1"/>
    </xf>
    <xf numFmtId="0" fontId="4" fillId="0" borderId="4" xfId="74" applyFont="1" applyBorder="1" applyAlignment="1">
      <alignment horizontal="justify" vertical="center" wrapText="1"/>
    </xf>
    <xf numFmtId="0" fontId="4" fillId="0" borderId="3" xfId="74" applyFont="1" applyBorder="1" applyAlignment="1">
      <alignment horizontal="left" vertical="center" wrapText="1"/>
    </xf>
    <xf numFmtId="0" fontId="0" fillId="0" borderId="3" xfId="74" applyFont="1" applyBorder="1" applyAlignment="1">
      <alignment horizontal="left" vertical="center" wrapText="1"/>
    </xf>
    <xf numFmtId="176" fontId="0" fillId="0" borderId="4" xfId="74" applyNumberFormat="1" applyFont="1" applyBorder="1" applyAlignment="1">
      <alignment horizontal="left" vertical="center" wrapText="1"/>
    </xf>
    <xf numFmtId="0" fontId="5" fillId="0" borderId="4" xfId="74" applyFont="1" applyBorder="1" applyAlignment="1">
      <alignment horizontal="justify" vertical="center" wrapText="1"/>
    </xf>
    <xf numFmtId="0" fontId="6" fillId="0" borderId="4" xfId="74" applyFont="1" applyBorder="1" applyAlignment="1">
      <alignment horizontal="justify" vertical="center" wrapText="1"/>
    </xf>
    <xf numFmtId="0" fontId="7" fillId="0" borderId="4" xfId="74" applyFont="1" applyBorder="1" applyAlignment="1">
      <alignment horizontal="justify" vertical="center" wrapText="1"/>
    </xf>
    <xf numFmtId="0" fontId="0" fillId="2" borderId="5" xfId="0" applyFill="1" applyBorder="1" applyAlignment="1">
      <alignment horizontal="center" vertical="center"/>
    </xf>
    <xf numFmtId="0" fontId="7" fillId="2" borderId="6" xfId="54" applyFont="1" applyFill="1" applyBorder="1" applyAlignment="1">
      <alignment horizontal="center" vertical="top" wrapText="1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0" fillId="2" borderId="9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0" fillId="3" borderId="6" xfId="0" applyFont="1" applyFill="1" applyBorder="1" applyAlignment="1">
      <alignment horizontal="center" vertical="center"/>
    </xf>
    <xf numFmtId="0" fontId="0" fillId="3" borderId="7" xfId="0" applyFont="1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177" fontId="3" fillId="0" borderId="0" xfId="0" applyNumberFormat="1" applyFont="1" applyAlignment="1">
      <alignment horizontal="center" vertical="center" wrapText="1"/>
    </xf>
    <xf numFmtId="177" fontId="3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12" fillId="0" borderId="9" xfId="0" applyFont="1" applyBorder="1" applyAlignment="1">
      <alignment horizontal="center" vertical="center" wrapText="1"/>
    </xf>
    <xf numFmtId="177" fontId="12" fillId="0" borderId="9" xfId="0" applyNumberFormat="1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0" borderId="17" xfId="0" applyFont="1" applyBorder="1" applyAlignment="1">
      <alignment vertical="center" wrapText="1"/>
    </xf>
    <xf numFmtId="177" fontId="3" fillId="0" borderId="17" xfId="0" applyNumberFormat="1" applyFont="1" applyBorder="1" applyAlignment="1">
      <alignment horizontal="center" vertical="center" wrapText="1"/>
    </xf>
    <xf numFmtId="177" fontId="3" fillId="0" borderId="17" xfId="0" applyNumberFormat="1" applyFont="1" applyBorder="1" applyAlignment="1">
      <alignment horizontal="left" vertical="justify" wrapText="1"/>
    </xf>
    <xf numFmtId="0" fontId="3" fillId="0" borderId="20" xfId="0" applyFont="1" applyBorder="1" applyAlignment="1">
      <alignment horizontal="center" vertical="center" wrapText="1"/>
    </xf>
    <xf numFmtId="0" fontId="3" fillId="0" borderId="9" xfId="0" applyFont="1" applyBorder="1" applyAlignment="1">
      <alignment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9" xfId="0" applyFont="1" applyBorder="1" applyAlignment="1">
      <alignment vertical="center" wrapText="1"/>
    </xf>
    <xf numFmtId="177" fontId="3" fillId="0" borderId="9" xfId="0" applyNumberFormat="1" applyFont="1" applyBorder="1" applyAlignment="1">
      <alignment horizontal="center" vertical="center" wrapText="1"/>
    </xf>
    <xf numFmtId="177" fontId="3" fillId="0" borderId="9" xfId="0" applyNumberFormat="1" applyFont="1" applyBorder="1" applyAlignment="1">
      <alignment horizontal="left" vertical="center" wrapText="1"/>
    </xf>
    <xf numFmtId="177" fontId="3" fillId="0" borderId="17" xfId="0" applyNumberFormat="1" applyFont="1" applyBorder="1" applyAlignment="1">
      <alignment horizontal="left" vertical="center" wrapText="1"/>
    </xf>
    <xf numFmtId="0" fontId="3" fillId="0" borderId="22" xfId="0" applyFont="1" applyBorder="1" applyAlignment="1">
      <alignment vertical="center" wrapText="1"/>
    </xf>
    <xf numFmtId="0" fontId="12" fillId="0" borderId="22" xfId="0" applyFont="1" applyBorder="1" applyAlignment="1">
      <alignment vertical="center" wrapText="1"/>
    </xf>
    <xf numFmtId="177" fontId="3" fillId="0" borderId="22" xfId="0" applyNumberFormat="1" applyFont="1" applyBorder="1" applyAlignment="1">
      <alignment horizontal="center" vertical="center" wrapText="1"/>
    </xf>
    <xf numFmtId="177" fontId="3" fillId="0" borderId="22" xfId="0" applyNumberFormat="1" applyFont="1" applyBorder="1" applyAlignment="1">
      <alignment horizontal="left" vertical="center" wrapText="1"/>
    </xf>
    <xf numFmtId="0" fontId="13" fillId="0" borderId="9" xfId="0" applyFont="1" applyBorder="1" applyAlignment="1">
      <alignment vertical="center" wrapText="1"/>
    </xf>
    <xf numFmtId="0" fontId="12" fillId="0" borderId="9" xfId="54" applyFont="1" applyBorder="1" applyAlignment="1">
      <alignment horizontal="left" vertical="center" wrapText="1"/>
    </xf>
    <xf numFmtId="0" fontId="12" fillId="0" borderId="9" xfId="70" applyFont="1" applyBorder="1" applyAlignment="1">
      <alignment horizontal="left" vertical="center" wrapText="1"/>
    </xf>
    <xf numFmtId="177" fontId="3" fillId="0" borderId="21" xfId="0" applyNumberFormat="1" applyFont="1" applyBorder="1" applyAlignment="1">
      <alignment horizontal="center" vertical="center" wrapText="1"/>
    </xf>
    <xf numFmtId="0" fontId="3" fillId="0" borderId="17" xfId="0" applyFont="1" applyBorder="1" applyAlignment="1">
      <alignment vertical="center" wrapText="1"/>
    </xf>
    <xf numFmtId="177" fontId="3" fillId="0" borderId="21" xfId="0" applyNumberFormat="1" applyFont="1" applyBorder="1" applyAlignment="1">
      <alignment horizontal="left" vertical="center" wrapText="1"/>
    </xf>
  </cellXfs>
  <cellStyles count="87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@ET_Style?b" xf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警告文本" xfId="15" builtinId="11"/>
    <cellStyle name="@ET_Style?h2_checklist_1" xfId="16"/>
    <cellStyle name="60% - 强调文字颜色 2" xfId="17" builtinId="36"/>
    <cellStyle name="标题 4" xfId="18" builtinId="19"/>
    <cellStyle name="标题" xfId="19" builtinId="15"/>
    <cellStyle name="解释性文本" xfId="20" builtinId="53"/>
    <cellStyle name="标题 1" xfId="21" builtinId="16"/>
    <cellStyle name="标题 2" xfId="22" builtinId="17"/>
    <cellStyle name="60% - 强调文字颜色 1" xfId="23" builtinId="32"/>
    <cellStyle name="标题 3" xfId="24" builtinId="18"/>
    <cellStyle name="60% - 强调文字颜色 4" xfId="25" builtinId="44"/>
    <cellStyle name="输出" xfId="26" builtinId="21"/>
    <cellStyle name="计算" xfId="27" builtinId="22"/>
    <cellStyle name="检查单元格" xfId="28" builtinId="23"/>
    <cellStyle name="20% - 强调文字颜色 6" xfId="29" builtinId="50"/>
    <cellStyle name="强调文字颜色 2" xfId="30" builtinId="33"/>
    <cellStyle name="链接单元格" xfId="31" builtinId="24"/>
    <cellStyle name="汇总" xfId="32" builtinId="25"/>
    <cellStyle name="好" xfId="33" builtinId="26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@ET_Style?.errormessage" xfId="42"/>
    <cellStyle name="@ET_Style?var" xfId="43"/>
    <cellStyle name="强调文字颜色 4" xfId="44" builtinId="41"/>
    <cellStyle name="@ET_Style?center" xfId="45"/>
    <cellStyle name="20% - 强调文字颜色 4" xfId="46" builtinId="42"/>
    <cellStyle name="40% - 强调文字颜色 4" xfId="47" builtinId="43"/>
    <cellStyle name="强调文字颜色 5" xfId="48" builtinId="45"/>
    <cellStyle name="40% - 强调文字颜色 5" xfId="49" builtinId="47"/>
    <cellStyle name="60% - 强调文字颜色 5" xfId="50" builtinId="48"/>
    <cellStyle name="强调文字颜色 6" xfId="51" builtinId="49"/>
    <cellStyle name="40% - 强调文字颜色 6" xfId="52" builtinId="51"/>
    <cellStyle name="60% - 强调文字颜色 6" xfId="53" builtinId="52"/>
    <cellStyle name="常规_Sheet1" xfId="54"/>
    <cellStyle name="常规_checklist_1" xfId="55"/>
    <cellStyle name="@ET_Style?@page" xfId="56"/>
    <cellStyle name="@ET_Style?strong" xfId="57"/>
    <cellStyle name="常规_checklist" xfId="58"/>
    <cellStyle name="@ET_Style?i" xfId="59"/>
    <cellStyle name="@ET_Style?h1" xfId="60"/>
    <cellStyle name="@ET_Style?h2" xfId="61"/>
    <cellStyle name="@ET_Style?u" xfId="62"/>
    <cellStyle name="@ET_Style?p.p0_Sheet1" xfId="63"/>
    <cellStyle name="@ET_Style?ol" xfId="64"/>
    <cellStyle name="@ET_Style?@font-face" xfId="65"/>
    <cellStyle name="@ET_Style?s" xfId="66"/>
    <cellStyle name="@ET_Style?sub" xfId="67"/>
    <cellStyle name="@ET_Style?th" xfId="68"/>
    <cellStyle name="@ET_Style?p.p0" xfId="69"/>
    <cellStyle name="常规_Sheet1_1" xfId="70"/>
    <cellStyle name="常规_Sheet1_2" xfId="71"/>
    <cellStyle name="@ET_Style?h2_Sheet1" xfId="72"/>
    <cellStyle name="@ET_Style?p.p15" xfId="73"/>
    <cellStyle name="常规_Sheet2" xfId="74"/>
    <cellStyle name="常规_checklist_2" xfId="75"/>
    <cellStyle name="@ET_Style?p.p15_Sheet2" xfId="76"/>
    <cellStyle name="@ET_Style?h2_checklist" xfId="77"/>
    <cellStyle name="@ET_Style?address" xfId="78"/>
    <cellStyle name="@ET_Style?strike" xfId="79"/>
    <cellStyle name="@ET_Style?sup" xfId="80"/>
    <cellStyle name="@ET_Style?p.p0_checklist" xfId="81"/>
    <cellStyle name="@ET_Style?p.p0_checklist_1" xfId="82"/>
    <cellStyle name="@ET_Style?{83A6F484-BC0A-4E23-BECC-56081C0A884B}" xfId="83"/>
    <cellStyle name="@ET_Style?{622E18CD-9DA1-4D13-BF22-9D1C6E518D52}" xfId="84"/>
    <cellStyle name="常规_checklist_3" xfId="85"/>
    <cellStyle name="@ET_Style?del" xfId="86"/>
  </cellStyles>
  <dxfs count="2">
    <dxf>
      <fill>
        <patternFill patternType="solid">
          <bgColor indexed="11"/>
        </patternFill>
      </fill>
    </dxf>
    <dxf>
      <fill>
        <patternFill patternType="solid">
          <bgColor indexed="10"/>
        </patternFill>
      </fill>
    </dxf>
  </dxfs>
  <tableStyles count="0" defaultTableStyle="TableStyleMedium2" defaultPivotStyle="PivotStyleLight16"/>
  <colors>
    <mruColors>
      <color rgb="00FFFF00"/>
      <color rgb="00CCFFFF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75565</xdr:colOff>
      <xdr:row>10</xdr:row>
      <xdr:rowOff>180975</xdr:rowOff>
    </xdr:from>
    <xdr:to>
      <xdr:col>4</xdr:col>
      <xdr:colOff>615315</xdr:colOff>
      <xdr:row>23</xdr:row>
      <xdr:rowOff>67945</xdr:rowOff>
    </xdr:to>
    <xdr:pic>
      <xdr:nvPicPr>
        <xdr:cNvPr id="2049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52805" y="3286125"/>
          <a:ext cx="5340350" cy="22396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2:F74"/>
  <sheetViews>
    <sheetView showGridLines="0" tabSelected="1" workbookViewId="0">
      <pane ySplit="2" topLeftCell="A3" activePane="bottomLeft" state="frozen"/>
      <selection/>
      <selection pane="bottomLeft" activeCell="I15" sqref="I15"/>
    </sheetView>
  </sheetViews>
  <sheetFormatPr defaultColWidth="8.8" defaultRowHeight="11.25" outlineLevelCol="5"/>
  <cols>
    <col min="1" max="1" width="6.6" style="46" customWidth="1"/>
    <col min="2" max="2" width="16.7" style="47" customWidth="1"/>
    <col min="3" max="3" width="10.4" style="48"/>
    <col min="4" max="4" width="47.2" style="49" customWidth="1"/>
    <col min="5" max="5" width="7.3" style="50"/>
    <col min="6" max="6" width="26.8" style="51" customWidth="1"/>
    <col min="7" max="16384" width="8.8" style="52"/>
  </cols>
  <sheetData>
    <row r="2" spans="1:6">
      <c r="A2" s="53" t="s">
        <v>0</v>
      </c>
      <c r="B2" s="53" t="s">
        <v>1</v>
      </c>
      <c r="C2" s="54" t="s">
        <v>2</v>
      </c>
      <c r="D2" s="54" t="s">
        <v>3</v>
      </c>
      <c r="E2" s="53" t="s">
        <v>4</v>
      </c>
      <c r="F2" s="55" t="s">
        <v>5</v>
      </c>
    </row>
    <row r="3" ht="45" spans="1:6">
      <c r="A3" s="53">
        <v>1</v>
      </c>
      <c r="B3" s="56" t="s">
        <v>6</v>
      </c>
      <c r="C3" s="57">
        <v>3.1</v>
      </c>
      <c r="D3" s="58" t="s">
        <v>7</v>
      </c>
      <c r="E3" s="59" t="s">
        <v>8</v>
      </c>
      <c r="F3" s="60" t="s">
        <v>9</v>
      </c>
    </row>
    <row r="4" spans="1:6">
      <c r="A4" s="61">
        <v>2</v>
      </c>
      <c r="B4" s="62" t="s">
        <v>10</v>
      </c>
      <c r="C4" s="63" t="s">
        <v>11</v>
      </c>
      <c r="D4" s="64" t="s">
        <v>12</v>
      </c>
      <c r="E4" s="59" t="s">
        <v>13</v>
      </c>
      <c r="F4" s="60"/>
    </row>
    <row r="5" ht="22.5" spans="1:6">
      <c r="A5" s="53">
        <v>3</v>
      </c>
      <c r="B5" s="56"/>
      <c r="C5" s="57"/>
      <c r="D5" s="64" t="s">
        <v>14</v>
      </c>
      <c r="E5" s="59" t="s">
        <v>8</v>
      </c>
      <c r="F5" s="60" t="s">
        <v>9</v>
      </c>
    </row>
    <row r="6" spans="1:6">
      <c r="A6" s="61">
        <v>4</v>
      </c>
      <c r="B6" s="56"/>
      <c r="C6" s="57"/>
      <c r="D6" s="64" t="s">
        <v>15</v>
      </c>
      <c r="E6" s="59" t="s">
        <v>8</v>
      </c>
      <c r="F6" s="60"/>
    </row>
    <row r="7" ht="22.5" spans="1:6">
      <c r="A7" s="53">
        <v>5</v>
      </c>
      <c r="B7" s="56"/>
      <c r="C7" s="57"/>
      <c r="D7" s="65" t="s">
        <v>16</v>
      </c>
      <c r="E7" s="59" t="s">
        <v>13</v>
      </c>
      <c r="F7" s="60"/>
    </row>
    <row r="8" spans="1:6">
      <c r="A8" s="61"/>
      <c r="B8" s="56"/>
      <c r="C8" s="57"/>
      <c r="D8" s="65" t="s">
        <v>17</v>
      </c>
      <c r="E8" s="59"/>
      <c r="F8" s="66"/>
    </row>
    <row r="9" spans="1:6">
      <c r="A9" s="61">
        <v>6</v>
      </c>
      <c r="B9" s="62" t="s">
        <v>18</v>
      </c>
      <c r="C9" s="63">
        <v>2.6</v>
      </c>
      <c r="D9" s="64" t="s">
        <v>19</v>
      </c>
      <c r="E9" s="59" t="s">
        <v>8</v>
      </c>
      <c r="F9" s="66"/>
    </row>
    <row r="10" spans="1:6">
      <c r="A10" s="53">
        <v>7</v>
      </c>
      <c r="B10" s="62"/>
      <c r="C10" s="63"/>
      <c r="D10" s="64" t="s">
        <v>20</v>
      </c>
      <c r="E10" s="59" t="s">
        <v>8</v>
      </c>
      <c r="F10" s="60"/>
    </row>
    <row r="11" spans="1:6">
      <c r="A11" s="61">
        <v>8</v>
      </c>
      <c r="B11" s="62"/>
      <c r="C11" s="63"/>
      <c r="D11" s="64" t="s">
        <v>21</v>
      </c>
      <c r="E11" s="59" t="s">
        <v>8</v>
      </c>
      <c r="F11" s="60"/>
    </row>
    <row r="12" spans="1:6">
      <c r="A12" s="53">
        <v>9</v>
      </c>
      <c r="B12" s="67" t="s">
        <v>22</v>
      </c>
      <c r="C12" s="68">
        <v>2.7</v>
      </c>
      <c r="D12" s="69" t="s">
        <v>23</v>
      </c>
      <c r="E12" s="59" t="s">
        <v>8</v>
      </c>
      <c r="F12" s="60"/>
    </row>
    <row r="13" spans="1:6">
      <c r="A13" s="61">
        <v>10</v>
      </c>
      <c r="B13" s="67"/>
      <c r="C13" s="68"/>
      <c r="D13" s="64" t="s">
        <v>24</v>
      </c>
      <c r="E13" s="59" t="s">
        <v>8</v>
      </c>
      <c r="F13" s="60"/>
    </row>
    <row r="14" spans="1:6">
      <c r="A14" s="53">
        <v>11</v>
      </c>
      <c r="B14" s="67"/>
      <c r="C14" s="68"/>
      <c r="D14" s="64" t="s">
        <v>25</v>
      </c>
      <c r="E14" s="59" t="s">
        <v>8</v>
      </c>
      <c r="F14" s="60"/>
    </row>
    <row r="15" spans="1:6">
      <c r="A15" s="61">
        <v>12</v>
      </c>
      <c r="B15" s="67"/>
      <c r="C15" s="68"/>
      <c r="D15" s="64" t="s">
        <v>26</v>
      </c>
      <c r="E15" s="59" t="s">
        <v>13</v>
      </c>
      <c r="F15" s="67"/>
    </row>
    <row r="16" spans="1:6">
      <c r="A16" s="53">
        <v>13</v>
      </c>
      <c r="B16" s="67"/>
      <c r="C16" s="68"/>
      <c r="D16" s="64" t="s">
        <v>27</v>
      </c>
      <c r="E16" s="59" t="s">
        <v>8</v>
      </c>
      <c r="F16" s="67"/>
    </row>
    <row r="17" spans="1:6">
      <c r="A17" s="61">
        <v>14</v>
      </c>
      <c r="B17" s="67"/>
      <c r="C17" s="68"/>
      <c r="D17" s="64" t="s">
        <v>28</v>
      </c>
      <c r="E17" s="59" t="s">
        <v>8</v>
      </c>
      <c r="F17" s="67"/>
    </row>
    <row r="18" spans="1:6">
      <c r="A18" s="53">
        <v>15</v>
      </c>
      <c r="B18" s="62"/>
      <c r="C18" s="68" t="s">
        <v>29</v>
      </c>
      <c r="D18" s="64" t="s">
        <v>30</v>
      </c>
      <c r="E18" s="59" t="s">
        <v>13</v>
      </c>
      <c r="F18" s="67"/>
    </row>
    <row r="19" spans="1:6">
      <c r="A19" s="61">
        <v>16</v>
      </c>
      <c r="B19" s="62" t="s">
        <v>31</v>
      </c>
      <c r="C19" s="63">
        <v>2.8</v>
      </c>
      <c r="D19" s="64" t="s">
        <v>32</v>
      </c>
      <c r="E19" s="59" t="s">
        <v>8</v>
      </c>
      <c r="F19" s="67"/>
    </row>
    <row r="20" spans="1:6">
      <c r="A20" s="53">
        <v>17</v>
      </c>
      <c r="B20" s="62"/>
      <c r="C20" s="63"/>
      <c r="D20" s="64" t="s">
        <v>33</v>
      </c>
      <c r="E20" s="59" t="s">
        <v>8</v>
      </c>
      <c r="F20" s="67"/>
    </row>
    <row r="21" spans="1:6">
      <c r="A21" s="61">
        <v>18</v>
      </c>
      <c r="B21" s="62" t="s">
        <v>34</v>
      </c>
      <c r="C21" s="63">
        <v>2.9</v>
      </c>
      <c r="D21" s="64" t="s">
        <v>35</v>
      </c>
      <c r="E21" s="59" t="s">
        <v>13</v>
      </c>
      <c r="F21" s="60"/>
    </row>
    <row r="22" spans="1:6">
      <c r="A22" s="53">
        <v>19</v>
      </c>
      <c r="B22" s="62"/>
      <c r="C22" s="63"/>
      <c r="D22" s="64" t="s">
        <v>36</v>
      </c>
      <c r="E22" s="59" t="s">
        <v>13</v>
      </c>
      <c r="F22" s="60"/>
    </row>
    <row r="23" ht="33.75" spans="1:6">
      <c r="A23" s="61">
        <v>20</v>
      </c>
      <c r="B23" s="62"/>
      <c r="C23" s="63"/>
      <c r="D23" s="64" t="s">
        <v>37</v>
      </c>
      <c r="E23" s="59" t="s">
        <v>13</v>
      </c>
      <c r="F23" s="60"/>
    </row>
    <row r="24" spans="1:6">
      <c r="A24" s="53">
        <v>21</v>
      </c>
      <c r="B24" s="62"/>
      <c r="C24" s="63"/>
      <c r="D24" s="64" t="s">
        <v>38</v>
      </c>
      <c r="E24" s="59" t="s">
        <v>13</v>
      </c>
      <c r="F24" s="60"/>
    </row>
    <row r="25" ht="22.5" spans="1:6">
      <c r="A25" s="61">
        <v>22</v>
      </c>
      <c r="B25" s="62" t="s">
        <v>39</v>
      </c>
      <c r="C25" s="63" t="s">
        <v>40</v>
      </c>
      <c r="D25" s="64"/>
      <c r="E25" s="59" t="s">
        <v>13</v>
      </c>
      <c r="F25" s="60"/>
    </row>
    <row r="26" ht="22.5" spans="1:6">
      <c r="A26" s="53">
        <v>23</v>
      </c>
      <c r="B26" s="62" t="s">
        <v>41</v>
      </c>
      <c r="C26" s="63" t="s">
        <v>42</v>
      </c>
      <c r="D26" s="64"/>
      <c r="E26" s="59" t="s">
        <v>13</v>
      </c>
      <c r="F26" s="60"/>
    </row>
    <row r="27" ht="22.5" spans="1:6">
      <c r="A27" s="61">
        <v>24</v>
      </c>
      <c r="B27" s="62" t="s">
        <v>43</v>
      </c>
      <c r="C27" s="63" t="s">
        <v>42</v>
      </c>
      <c r="D27" s="64"/>
      <c r="E27" s="59" t="s">
        <v>13</v>
      </c>
      <c r="F27" s="60"/>
    </row>
    <row r="28" ht="22.5" spans="1:6">
      <c r="A28" s="53">
        <v>25</v>
      </c>
      <c r="B28" s="62" t="s">
        <v>44</v>
      </c>
      <c r="C28" s="63" t="s">
        <v>42</v>
      </c>
      <c r="D28" s="64"/>
      <c r="E28" s="59" t="s">
        <v>13</v>
      </c>
      <c r="F28" s="60"/>
    </row>
    <row r="29" spans="1:6">
      <c r="A29" s="61">
        <v>26</v>
      </c>
      <c r="B29" s="62" t="s">
        <v>45</v>
      </c>
      <c r="C29" s="63"/>
      <c r="D29" s="64" t="s">
        <v>46</v>
      </c>
      <c r="E29" s="59" t="s">
        <v>8</v>
      </c>
      <c r="F29" s="60"/>
    </row>
    <row r="30" ht="12" spans="1:6">
      <c r="A30" s="53">
        <v>27</v>
      </c>
      <c r="B30" s="62" t="s">
        <v>47</v>
      </c>
      <c r="C30" s="63"/>
      <c r="D30" s="64" t="s">
        <v>46</v>
      </c>
      <c r="E30" s="59" t="s">
        <v>8</v>
      </c>
      <c r="F30" s="70"/>
    </row>
    <row r="31" spans="1:6">
      <c r="A31" s="61">
        <v>28</v>
      </c>
      <c r="B31" s="62" t="s">
        <v>48</v>
      </c>
      <c r="C31" s="63">
        <v>2.12</v>
      </c>
      <c r="D31" s="64" t="s">
        <v>49</v>
      </c>
      <c r="E31" s="59" t="s">
        <v>8</v>
      </c>
      <c r="F31" s="60" t="s">
        <v>50</v>
      </c>
    </row>
    <row r="32" spans="1:6">
      <c r="A32" s="53">
        <v>29</v>
      </c>
      <c r="B32" s="62"/>
      <c r="C32" s="63"/>
      <c r="D32" s="64" t="s">
        <v>51</v>
      </c>
      <c r="E32" s="59" t="s">
        <v>8</v>
      </c>
      <c r="F32" s="60"/>
    </row>
    <row r="33" ht="22.5" spans="1:6">
      <c r="A33" s="61">
        <v>30</v>
      </c>
      <c r="B33" s="62"/>
      <c r="C33" s="63"/>
      <c r="D33" s="64" t="s">
        <v>52</v>
      </c>
      <c r="E33" s="59" t="s">
        <v>8</v>
      </c>
      <c r="F33" s="60"/>
    </row>
    <row r="34" spans="1:6">
      <c r="A34" s="53">
        <v>31</v>
      </c>
      <c r="B34" s="62" t="s">
        <v>53</v>
      </c>
      <c r="C34" s="63"/>
      <c r="D34" s="64" t="s">
        <v>54</v>
      </c>
      <c r="E34" s="59" t="s">
        <v>8</v>
      </c>
      <c r="F34" s="60"/>
    </row>
    <row r="35" ht="33.75" spans="1:6">
      <c r="A35" s="61">
        <v>32</v>
      </c>
      <c r="B35" s="62" t="s">
        <v>55</v>
      </c>
      <c r="C35" s="63">
        <v>2.2</v>
      </c>
      <c r="D35" s="64" t="s">
        <v>56</v>
      </c>
      <c r="E35" s="59" t="s">
        <v>8</v>
      </c>
      <c r="F35" s="60"/>
    </row>
    <row r="36" spans="1:6">
      <c r="A36" s="53">
        <v>33</v>
      </c>
      <c r="B36" s="62"/>
      <c r="C36" s="63"/>
      <c r="D36" s="64" t="s">
        <v>57</v>
      </c>
      <c r="E36" s="59" t="s">
        <v>13</v>
      </c>
      <c r="F36" s="60"/>
    </row>
    <row r="37" spans="1:6">
      <c r="A37" s="61">
        <v>34</v>
      </c>
      <c r="B37" s="62"/>
      <c r="C37" s="63"/>
      <c r="D37" s="64" t="s">
        <v>58</v>
      </c>
      <c r="E37" s="59" t="s">
        <v>13</v>
      </c>
      <c r="F37" s="60"/>
    </row>
    <row r="38" spans="1:6">
      <c r="A38" s="53">
        <v>35</v>
      </c>
      <c r="B38" s="62"/>
      <c r="C38" s="63"/>
      <c r="D38" s="64" t="s">
        <v>59</v>
      </c>
      <c r="E38" s="59" t="s">
        <v>13</v>
      </c>
      <c r="F38" s="60"/>
    </row>
    <row r="39" spans="1:6">
      <c r="A39" s="61">
        <v>36</v>
      </c>
      <c r="B39" s="62"/>
      <c r="C39" s="63"/>
      <c r="D39" s="64" t="s">
        <v>60</v>
      </c>
      <c r="E39" s="59" t="s">
        <v>13</v>
      </c>
      <c r="F39" s="60"/>
    </row>
    <row r="40" spans="1:6">
      <c r="A40" s="53">
        <v>37</v>
      </c>
      <c r="B40" s="62"/>
      <c r="C40" s="63"/>
      <c r="D40" s="64" t="s">
        <v>61</v>
      </c>
      <c r="E40" s="59" t="s">
        <v>13</v>
      </c>
      <c r="F40" s="60"/>
    </row>
    <row r="41" ht="22.5" spans="1:6">
      <c r="A41" s="61">
        <v>38</v>
      </c>
      <c r="B41" s="62" t="s">
        <v>62</v>
      </c>
      <c r="C41" s="63">
        <v>2.4</v>
      </c>
      <c r="D41" s="64" t="s">
        <v>63</v>
      </c>
      <c r="E41" s="59" t="s">
        <v>8</v>
      </c>
      <c r="F41" s="60"/>
    </row>
    <row r="42" spans="1:6">
      <c r="A42" s="53">
        <v>39</v>
      </c>
      <c r="B42" s="62" t="s">
        <v>64</v>
      </c>
      <c r="C42" s="63">
        <v>2.1</v>
      </c>
      <c r="D42" s="64" t="s">
        <v>65</v>
      </c>
      <c r="E42" s="59" t="s">
        <v>8</v>
      </c>
      <c r="F42" s="60"/>
    </row>
    <row r="43" spans="1:6">
      <c r="A43" s="61">
        <v>40</v>
      </c>
      <c r="B43" s="62"/>
      <c r="C43" s="63"/>
      <c r="D43" s="64" t="s">
        <v>66</v>
      </c>
      <c r="E43" s="59" t="s">
        <v>8</v>
      </c>
      <c r="F43" s="60"/>
    </row>
    <row r="44" ht="22.5" spans="1:6">
      <c r="A44" s="53">
        <v>41</v>
      </c>
      <c r="B44" s="62"/>
      <c r="C44" s="63"/>
      <c r="D44" s="64" t="s">
        <v>67</v>
      </c>
      <c r="E44" s="59" t="s">
        <v>8</v>
      </c>
      <c r="F44" s="60"/>
    </row>
    <row r="45" spans="1:6">
      <c r="A45" s="61">
        <v>42</v>
      </c>
      <c r="B45" s="62" t="s">
        <v>68</v>
      </c>
      <c r="C45" s="63">
        <v>2.11</v>
      </c>
      <c r="D45" s="64" t="s">
        <v>69</v>
      </c>
      <c r="E45" s="59" t="s">
        <v>8</v>
      </c>
      <c r="F45" s="60"/>
    </row>
    <row r="46" spans="1:6">
      <c r="A46" s="53">
        <v>43</v>
      </c>
      <c r="B46" s="62"/>
      <c r="C46" s="63"/>
      <c r="D46" s="49" t="s">
        <v>70</v>
      </c>
      <c r="E46" s="59" t="s">
        <v>13</v>
      </c>
      <c r="F46" s="60"/>
    </row>
    <row r="47" spans="1:6">
      <c r="A47" s="61">
        <v>44</v>
      </c>
      <c r="B47" s="62"/>
      <c r="C47" s="63"/>
      <c r="D47" s="64" t="s">
        <v>71</v>
      </c>
      <c r="E47" s="59" t="s">
        <v>13</v>
      </c>
      <c r="F47" s="60"/>
    </row>
    <row r="48" spans="1:6">
      <c r="A48" s="53">
        <v>45</v>
      </c>
      <c r="B48" s="71" t="s">
        <v>72</v>
      </c>
      <c r="C48" s="63">
        <v>2.13</v>
      </c>
      <c r="D48" s="64" t="s">
        <v>65</v>
      </c>
      <c r="E48" s="59" t="s">
        <v>13</v>
      </c>
      <c r="F48" s="60"/>
    </row>
    <row r="49" spans="1:6">
      <c r="A49" s="61">
        <v>46</v>
      </c>
      <c r="B49" s="71"/>
      <c r="C49" s="63"/>
      <c r="D49" s="64" t="s">
        <v>73</v>
      </c>
      <c r="E49" s="59" t="s">
        <v>13</v>
      </c>
      <c r="F49" s="60"/>
    </row>
    <row r="50" spans="1:6">
      <c r="A50" s="53">
        <v>47</v>
      </c>
      <c r="B50" s="71"/>
      <c r="C50" s="63"/>
      <c r="D50" s="64" t="s">
        <v>74</v>
      </c>
      <c r="E50" s="59" t="s">
        <v>13</v>
      </c>
      <c r="F50" s="60"/>
    </row>
    <row r="51" spans="1:6">
      <c r="A51" s="61">
        <v>48</v>
      </c>
      <c r="B51" s="72" t="s">
        <v>75</v>
      </c>
      <c r="C51" s="63">
        <v>2.14</v>
      </c>
      <c r="D51" s="64" t="s">
        <v>76</v>
      </c>
      <c r="E51" s="59" t="s">
        <v>8</v>
      </c>
      <c r="F51" s="60"/>
    </row>
    <row r="52" spans="1:6">
      <c r="A52" s="53">
        <v>49</v>
      </c>
      <c r="B52" s="72"/>
      <c r="C52" s="63"/>
      <c r="D52" s="64" t="s">
        <v>77</v>
      </c>
      <c r="E52" s="59" t="s">
        <v>13</v>
      </c>
      <c r="F52" s="60"/>
    </row>
    <row r="53" ht="22.5" spans="1:6">
      <c r="A53" s="61">
        <v>50</v>
      </c>
      <c r="B53" s="62" t="s">
        <v>78</v>
      </c>
      <c r="C53" s="63">
        <v>2.16</v>
      </c>
      <c r="D53" s="64" t="s">
        <v>79</v>
      </c>
      <c r="E53" s="59" t="s">
        <v>8</v>
      </c>
      <c r="F53" s="60"/>
    </row>
    <row r="54" ht="33.75" spans="1:6">
      <c r="A54" s="53">
        <v>51</v>
      </c>
      <c r="B54" s="62"/>
      <c r="C54" s="63"/>
      <c r="D54" s="64" t="s">
        <v>80</v>
      </c>
      <c r="E54" s="59" t="s">
        <v>8</v>
      </c>
      <c r="F54" s="60"/>
    </row>
    <row r="55" ht="22.5" spans="1:6">
      <c r="A55" s="61">
        <v>52</v>
      </c>
      <c r="B55" s="62"/>
      <c r="C55" s="63"/>
      <c r="D55" s="65" t="s">
        <v>81</v>
      </c>
      <c r="E55" s="59" t="s">
        <v>13</v>
      </c>
      <c r="F55" s="60"/>
    </row>
    <row r="56" ht="33.75" spans="1:6">
      <c r="A56" s="53">
        <v>53</v>
      </c>
      <c r="B56" s="62"/>
      <c r="C56" s="63" t="s">
        <v>82</v>
      </c>
      <c r="D56" s="65" t="s">
        <v>83</v>
      </c>
      <c r="E56" s="59" t="s">
        <v>13</v>
      </c>
      <c r="F56" s="60"/>
    </row>
    <row r="57" ht="22.5" spans="1:6">
      <c r="A57" s="61">
        <v>54</v>
      </c>
      <c r="B57" s="62" t="s">
        <v>84</v>
      </c>
      <c r="C57" s="63">
        <v>2.15</v>
      </c>
      <c r="D57" s="64" t="s">
        <v>85</v>
      </c>
      <c r="E57" s="59" t="s">
        <v>8</v>
      </c>
      <c r="F57" s="60"/>
    </row>
    <row r="58" ht="22.5" spans="1:6">
      <c r="A58" s="53">
        <v>55</v>
      </c>
      <c r="B58" s="62"/>
      <c r="C58" s="63"/>
      <c r="D58" s="64" t="s">
        <v>86</v>
      </c>
      <c r="E58" s="59" t="s">
        <v>8</v>
      </c>
      <c r="F58" s="60"/>
    </row>
    <row r="59" spans="1:6">
      <c r="A59" s="61"/>
      <c r="B59" s="62"/>
      <c r="C59" s="63" t="s">
        <v>87</v>
      </c>
      <c r="D59" s="64" t="s">
        <v>88</v>
      </c>
      <c r="E59" s="59" t="s">
        <v>13</v>
      </c>
      <c r="F59" s="60"/>
    </row>
    <row r="60" ht="22.5" spans="1:6">
      <c r="A60" s="61"/>
      <c r="B60" s="62" t="s">
        <v>89</v>
      </c>
      <c r="C60" s="63" t="s">
        <v>90</v>
      </c>
      <c r="D60" s="64" t="s">
        <v>91</v>
      </c>
      <c r="E60" s="59" t="s">
        <v>13</v>
      </c>
      <c r="F60" s="60"/>
    </row>
    <row r="61" ht="22.5" spans="1:6">
      <c r="A61" s="61">
        <v>56</v>
      </c>
      <c r="C61" s="63">
        <v>2.19</v>
      </c>
      <c r="D61" s="64" t="s">
        <v>92</v>
      </c>
      <c r="E61" s="59" t="s">
        <v>13</v>
      </c>
      <c r="F61" s="60"/>
    </row>
    <row r="62" spans="1:6">
      <c r="A62" s="53">
        <v>57</v>
      </c>
      <c r="B62" s="62" t="s">
        <v>93</v>
      </c>
      <c r="C62" s="73">
        <v>2.17</v>
      </c>
      <c r="D62" s="64" t="s">
        <v>94</v>
      </c>
      <c r="E62" s="59" t="s">
        <v>8</v>
      </c>
      <c r="F62" s="60"/>
    </row>
    <row r="63" spans="1:6">
      <c r="A63" s="61">
        <v>58</v>
      </c>
      <c r="B63" s="62"/>
      <c r="C63" s="73"/>
      <c r="D63" s="64" t="s">
        <v>95</v>
      </c>
      <c r="E63" s="59" t="s">
        <v>8</v>
      </c>
      <c r="F63" s="60"/>
    </row>
    <row r="64" spans="1:6">
      <c r="A64" s="53">
        <v>59</v>
      </c>
      <c r="B64" s="62"/>
      <c r="C64" s="73"/>
      <c r="D64" s="64" t="s">
        <v>96</v>
      </c>
      <c r="E64" s="59" t="s">
        <v>8</v>
      </c>
      <c r="F64" s="60"/>
    </row>
    <row r="65" ht="22.5" spans="1:6">
      <c r="A65" s="61"/>
      <c r="B65" s="62"/>
      <c r="C65" s="73"/>
      <c r="D65" s="64" t="s">
        <v>97</v>
      </c>
      <c r="E65" s="59"/>
      <c r="F65" s="60"/>
    </row>
    <row r="66" ht="22.5" spans="1:6">
      <c r="A66" s="61">
        <v>60</v>
      </c>
      <c r="B66" s="62"/>
      <c r="C66" s="73"/>
      <c r="D66" s="64" t="s">
        <v>98</v>
      </c>
      <c r="E66" s="59" t="s">
        <v>8</v>
      </c>
      <c r="F66" s="60"/>
    </row>
    <row r="67" spans="1:6">
      <c r="A67" s="53">
        <v>61</v>
      </c>
      <c r="B67" s="62" t="s">
        <v>99</v>
      </c>
      <c r="C67" s="63">
        <v>2.18</v>
      </c>
      <c r="D67" s="64" t="s">
        <v>100</v>
      </c>
      <c r="E67" s="59" t="s">
        <v>8</v>
      </c>
      <c r="F67" s="60"/>
    </row>
    <row r="68" ht="22.5" spans="1:6">
      <c r="A68" s="61">
        <v>62</v>
      </c>
      <c r="B68" s="62"/>
      <c r="C68" s="63"/>
      <c r="D68" s="64" t="s">
        <v>101</v>
      </c>
      <c r="E68" s="59" t="s">
        <v>13</v>
      </c>
      <c r="F68" s="60"/>
    </row>
    <row r="69" ht="22.5" spans="1:6">
      <c r="A69" s="53">
        <v>63</v>
      </c>
      <c r="B69" s="62"/>
      <c r="C69" s="63"/>
      <c r="D69" s="64" t="s">
        <v>102</v>
      </c>
      <c r="E69" s="59" t="s">
        <v>8</v>
      </c>
      <c r="F69" s="60"/>
    </row>
    <row r="70" spans="1:6">
      <c r="A70" s="61">
        <v>64</v>
      </c>
      <c r="B70" s="62"/>
      <c r="C70" s="63"/>
      <c r="D70" s="64" t="s">
        <v>96</v>
      </c>
      <c r="E70" s="59" t="s">
        <v>8</v>
      </c>
      <c r="F70" s="60"/>
    </row>
    <row r="71" ht="22.5" spans="1:6">
      <c r="A71" s="53">
        <v>65</v>
      </c>
      <c r="B71" s="56"/>
      <c r="C71" s="57"/>
      <c r="D71" s="65" t="s">
        <v>103</v>
      </c>
      <c r="E71" s="59" t="s">
        <v>8</v>
      </c>
      <c r="F71" s="74"/>
    </row>
    <row r="72" ht="22.5" spans="1:6">
      <c r="A72" s="61">
        <v>66</v>
      </c>
      <c r="B72" s="62" t="s">
        <v>104</v>
      </c>
      <c r="C72" s="63"/>
      <c r="D72" s="64"/>
      <c r="E72" s="59" t="s">
        <v>8</v>
      </c>
      <c r="F72" s="60"/>
    </row>
    <row r="73" ht="22.5" spans="1:6">
      <c r="A73" s="53">
        <v>67</v>
      </c>
      <c r="B73" s="62" t="s">
        <v>105</v>
      </c>
      <c r="C73" s="63"/>
      <c r="D73" s="64"/>
      <c r="E73" s="59" t="s">
        <v>8</v>
      </c>
      <c r="F73" s="74"/>
    </row>
    <row r="74" spans="1:6">
      <c r="A74" s="61">
        <v>68</v>
      </c>
      <c r="B74" s="62" t="s">
        <v>106</v>
      </c>
      <c r="C74" s="63"/>
      <c r="D74" s="75"/>
      <c r="E74" s="59" t="s">
        <v>8</v>
      </c>
      <c r="F74" s="60"/>
    </row>
  </sheetData>
  <mergeCells count="32">
    <mergeCell ref="B4:B8"/>
    <mergeCell ref="B9:B11"/>
    <mergeCell ref="B12:B18"/>
    <mergeCell ref="B19:B20"/>
    <mergeCell ref="B21:B24"/>
    <mergeCell ref="B31:B33"/>
    <mergeCell ref="B35:B40"/>
    <mergeCell ref="B42:B44"/>
    <mergeCell ref="B45:B47"/>
    <mergeCell ref="B48:B50"/>
    <mergeCell ref="B51:B52"/>
    <mergeCell ref="B53:B56"/>
    <mergeCell ref="B57:B59"/>
    <mergeCell ref="B60:B61"/>
    <mergeCell ref="B62:B66"/>
    <mergeCell ref="B67:B71"/>
    <mergeCell ref="C4:C8"/>
    <mergeCell ref="C9:C11"/>
    <mergeCell ref="C12:C17"/>
    <mergeCell ref="C19:C20"/>
    <mergeCell ref="C21:C24"/>
    <mergeCell ref="C31:C33"/>
    <mergeCell ref="C35:C40"/>
    <mergeCell ref="C42:C44"/>
    <mergeCell ref="C45:C47"/>
    <mergeCell ref="C48:C50"/>
    <mergeCell ref="C51:C52"/>
    <mergeCell ref="C53:C55"/>
    <mergeCell ref="C57:C58"/>
    <mergeCell ref="C62:C66"/>
    <mergeCell ref="C67:C71"/>
    <mergeCell ref="F15:F20"/>
  </mergeCells>
  <conditionalFormatting sqref="E8">
    <cfRule type="cellIs" dxfId="0" priority="3" stopIfTrue="1" operator="equal">
      <formula>"√"</formula>
    </cfRule>
    <cfRule type="cellIs" dxfId="1" priority="4" stopIfTrue="1" operator="equal">
      <formula>"×"</formula>
    </cfRule>
  </conditionalFormatting>
  <conditionalFormatting sqref="E9:E74 E3:E7">
    <cfRule type="cellIs" dxfId="0" priority="1" stopIfTrue="1" operator="equal">
      <formula>"√"</formula>
    </cfRule>
    <cfRule type="cellIs" dxfId="1" priority="2" stopIfTrue="1" operator="equal">
      <formula>"×"</formula>
    </cfRule>
  </conditionalFormatting>
  <dataValidations count="2">
    <dataValidation type="list" allowBlank="1" showInputMessage="1" showErrorMessage="1" sqref="E27 E28 E3:E8 E9:E26 E29:E74">
      <formula1>"√,×,NA"</formula1>
    </dataValidation>
    <dataValidation type="list" allowBlank="1" showInputMessage="1" showErrorMessage="1" sqref="E1:E2 E75:E65536">
      <formula1>"√,×"</formula1>
    </dataValidation>
  </dataValidations>
  <pageMargins left="0.75" right="0.75" top="1" bottom="1" header="0.511111111111111" footer="0.511111111111111"/>
  <pageSetup paperSize="9" orientation="portrait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zoomScale="70" zoomScaleNormal="70" workbookViewId="0">
      <selection activeCell="B5" sqref="B5"/>
    </sheetView>
  </sheetViews>
  <sheetFormatPr defaultColWidth="8.8" defaultRowHeight="14.25" outlineLevelCol="4"/>
  <cols>
    <col min="1" max="1" width="10.2" customWidth="1"/>
    <col min="2" max="2" width="20.7" customWidth="1"/>
    <col min="3" max="3" width="21.6" customWidth="1"/>
    <col min="4" max="4" width="20.7" customWidth="1"/>
    <col min="5" max="5" width="21.6" customWidth="1"/>
  </cols>
  <sheetData>
    <row r="1" ht="15"/>
    <row r="2" ht="25.5" spans="1:5">
      <c r="A2" s="19" t="s">
        <v>107</v>
      </c>
      <c r="B2" s="20" t="s">
        <v>108</v>
      </c>
      <c r="C2" s="20" t="s">
        <v>109</v>
      </c>
      <c r="D2" s="20" t="s">
        <v>110</v>
      </c>
      <c r="E2" s="21"/>
    </row>
    <row r="3" ht="21" customHeight="1" spans="1:5">
      <c r="A3" s="22"/>
      <c r="B3" s="23">
        <v>0.2</v>
      </c>
      <c r="C3" s="23">
        <v>0</v>
      </c>
      <c r="D3" s="23">
        <v>0</v>
      </c>
      <c r="E3" s="24"/>
    </row>
    <row r="4" ht="28.5" spans="1:5">
      <c r="A4" s="22"/>
      <c r="B4" s="25" t="s">
        <v>111</v>
      </c>
      <c r="C4" s="25" t="s">
        <v>112</v>
      </c>
      <c r="D4" s="25" t="s">
        <v>113</v>
      </c>
      <c r="E4" s="26" t="s">
        <v>114</v>
      </c>
    </row>
    <row r="5" ht="19" customHeight="1" spans="1:5">
      <c r="A5" s="27"/>
      <c r="B5" s="28">
        <v>0.45</v>
      </c>
      <c r="C5" s="28">
        <v>3</v>
      </c>
      <c r="D5" s="28">
        <v>0.2</v>
      </c>
      <c r="E5" s="29">
        <v>0.4</v>
      </c>
    </row>
    <row r="6" ht="15" spans="1:5">
      <c r="A6" s="30"/>
      <c r="B6" s="30"/>
      <c r="C6" s="30"/>
      <c r="D6" s="30"/>
      <c r="E6" s="30"/>
    </row>
    <row r="7" ht="28.5" spans="1:5">
      <c r="A7" s="31" t="s">
        <v>115</v>
      </c>
      <c r="B7" s="32" t="s">
        <v>116</v>
      </c>
      <c r="C7" s="33" t="s">
        <v>117</v>
      </c>
      <c r="D7" s="34"/>
      <c r="E7" s="35"/>
    </row>
    <row r="8" ht="26" customHeight="1" spans="1:5">
      <c r="A8" s="36"/>
      <c r="B8" s="37">
        <f>SUM(B5+(B3+C3))</f>
        <v>0.65</v>
      </c>
      <c r="C8" s="38">
        <f>SUM(D5+D3*2)</f>
        <v>0.2</v>
      </c>
      <c r="D8" s="39"/>
      <c r="E8" s="40"/>
    </row>
    <row r="9" ht="42.75" spans="1:5">
      <c r="A9" s="36"/>
      <c r="B9" s="32" t="s">
        <v>118</v>
      </c>
      <c r="C9" s="33" t="s">
        <v>119</v>
      </c>
      <c r="D9" s="33" t="s">
        <v>120</v>
      </c>
      <c r="E9" s="41" t="s">
        <v>121</v>
      </c>
    </row>
    <row r="10" ht="23.25" spans="1:5">
      <c r="A10" s="42"/>
      <c r="B10" s="43">
        <f>SUM(C5+B3*2)</f>
        <v>3.4</v>
      </c>
      <c r="C10" s="44">
        <f>B10-B8</f>
        <v>2.75</v>
      </c>
      <c r="D10" s="44">
        <f>B10-B8*2</f>
        <v>2.1</v>
      </c>
      <c r="E10" s="45">
        <f>E5-C8</f>
        <v>0.2</v>
      </c>
    </row>
  </sheetData>
  <mergeCells count="2">
    <mergeCell ref="A2:A5"/>
    <mergeCell ref="A7:A10"/>
  </mergeCells>
  <pageMargins left="0.75" right="0.75" top="1" bottom="1" header="0.511111111111111" footer="0.511111111111111"/>
  <pageSetup paperSize="9" orientation="portrait"/>
  <headerFooter alignWithMargins="0" scaleWithDoc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14"/>
  <sheetViews>
    <sheetView workbookViewId="0">
      <selection activeCell="C12" sqref="C12"/>
    </sheetView>
  </sheetViews>
  <sheetFormatPr defaultColWidth="8.8" defaultRowHeight="14.25" outlineLevelCol="5"/>
  <cols>
    <col min="2" max="2" width="11" customWidth="1"/>
    <col min="3" max="3" width="10.6" style="1"/>
    <col min="4" max="4" width="13.6" customWidth="1"/>
    <col min="5" max="5" width="31.7" customWidth="1"/>
  </cols>
  <sheetData>
    <row r="2" ht="20.25" spans="2:2">
      <c r="B2" s="2" t="s">
        <v>122</v>
      </c>
    </row>
    <row r="3" ht="15" spans="2:2">
      <c r="B3" s="3"/>
    </row>
    <row r="4" ht="16.5" spans="2:6">
      <c r="B4" s="4" t="s">
        <v>123</v>
      </c>
      <c r="C4" s="5" t="s">
        <v>124</v>
      </c>
      <c r="D4" s="6" t="s">
        <v>125</v>
      </c>
      <c r="E4" s="6" t="s">
        <v>126</v>
      </c>
      <c r="F4" s="6" t="s">
        <v>127</v>
      </c>
    </row>
    <row r="5" ht="23.25" spans="2:6">
      <c r="B5" s="7" t="s">
        <v>128</v>
      </c>
      <c r="C5" s="8">
        <v>42379</v>
      </c>
      <c r="D5" s="9" t="s">
        <v>129</v>
      </c>
      <c r="E5" s="9" t="s">
        <v>130</v>
      </c>
      <c r="F5" s="9" t="s">
        <v>131</v>
      </c>
    </row>
    <row r="6" ht="15" spans="2:6">
      <c r="B6" s="10" t="s">
        <v>132</v>
      </c>
      <c r="C6" s="11">
        <v>42381</v>
      </c>
      <c r="D6" s="12" t="s">
        <v>129</v>
      </c>
      <c r="E6" s="9" t="s">
        <v>133</v>
      </c>
      <c r="F6" s="9" t="s">
        <v>134</v>
      </c>
    </row>
    <row r="7" ht="15" spans="2:6">
      <c r="B7" s="13" t="s">
        <v>135</v>
      </c>
      <c r="C7" s="11">
        <v>42422</v>
      </c>
      <c r="D7" s="9" t="s">
        <v>22</v>
      </c>
      <c r="E7" s="9" t="s">
        <v>136</v>
      </c>
      <c r="F7" s="9" t="s">
        <v>134</v>
      </c>
    </row>
    <row r="8" ht="15" spans="2:6">
      <c r="B8" s="13" t="s">
        <v>137</v>
      </c>
      <c r="C8" s="11">
        <v>42496</v>
      </c>
      <c r="D8" s="9" t="s">
        <v>129</v>
      </c>
      <c r="E8" s="9" t="s">
        <v>138</v>
      </c>
      <c r="F8" s="9" t="s">
        <v>134</v>
      </c>
    </row>
    <row r="9" ht="72" spans="2:6">
      <c r="B9" s="13" t="s">
        <v>139</v>
      </c>
      <c r="C9" s="11">
        <v>42566</v>
      </c>
      <c r="D9" s="9" t="s">
        <v>129</v>
      </c>
      <c r="E9" s="12" t="s">
        <v>140</v>
      </c>
      <c r="F9" s="9" t="s">
        <v>134</v>
      </c>
    </row>
    <row r="10" ht="24.75" spans="2:6">
      <c r="B10" s="13" t="s">
        <v>141</v>
      </c>
      <c r="C10" s="11">
        <v>42590</v>
      </c>
      <c r="D10" s="9">
        <v>2.17</v>
      </c>
      <c r="E10" s="12" t="s">
        <v>142</v>
      </c>
      <c r="F10" s="9" t="s">
        <v>134</v>
      </c>
    </row>
    <row r="11" ht="36" spans="2:6">
      <c r="B11" s="13" t="s">
        <v>143</v>
      </c>
      <c r="C11" s="11">
        <v>42612</v>
      </c>
      <c r="D11" s="9"/>
      <c r="E11" s="12" t="s">
        <v>144</v>
      </c>
      <c r="F11" s="9" t="s">
        <v>134</v>
      </c>
    </row>
    <row r="12" ht="15" spans="2:6">
      <c r="B12" s="14"/>
      <c r="C12" s="15"/>
      <c r="D12" s="16"/>
      <c r="E12" s="9"/>
      <c r="F12" s="9"/>
    </row>
    <row r="13" ht="15" spans="2:6">
      <c r="B13" s="14"/>
      <c r="C13" s="15"/>
      <c r="D13" s="17"/>
      <c r="E13" s="18"/>
      <c r="F13" s="18"/>
    </row>
    <row r="14" ht="15" spans="2:6">
      <c r="B14" s="14"/>
      <c r="C14" s="15"/>
      <c r="D14" s="17"/>
      <c r="E14" s="18"/>
      <c r="F14" s="18"/>
    </row>
  </sheetData>
  <pageMargins left="0.75" right="0.75" top="1" bottom="1" header="0.511111111111111" footer="0.511111111111111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专业版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checklist</vt:lpstr>
      <vt:lpstr>尺寸计算器</vt:lpstr>
      <vt:lpstr>Revision 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ChenRB</dc:creator>
  <cp:lastModifiedBy>Administrator</cp:lastModifiedBy>
  <cp:revision>1</cp:revision>
  <dcterms:created xsi:type="dcterms:W3CDTF">2016-01-05T06:58:00Z</dcterms:created>
  <dcterms:modified xsi:type="dcterms:W3CDTF">2022-07-18T07:46:53Z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KSOReadingLayout">
    <vt:bool>true</vt:bool>
  </property>
</Properties>
</file>